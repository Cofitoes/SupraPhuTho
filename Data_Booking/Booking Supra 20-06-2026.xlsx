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uongnv3\Desktop\Cường SPR\TRUCKINGPLAN\19.06\"/>
    </mc:Choice>
  </mc:AlternateContent>
  <xr:revisionPtr revIDLastSave="0" documentId="13_ncr:1_{787DBED9-A2B7-4603-8BBA-03FEB861B647}" xr6:coauthVersionLast="47" xr6:coauthVersionMax="47" xr10:uidLastSave="{00000000-0000-0000-0000-000000000000}"/>
  <bookViews>
    <workbookView xWindow="-110" yWindow="-110" windowWidth="19420" windowHeight="10420" xr2:uid="{B9CF3C77-CED2-45B4-8BA4-0BDEAC9FEEB5}"/>
  </bookViews>
  <sheets>
    <sheet name="Total" sheetId="1" r:id="rId1"/>
  </sheets>
  <externalReferences>
    <externalReference r:id="rId2"/>
  </externalReferences>
  <definedNames>
    <definedName name="_xlnm._FilterDatabase" localSheetId="0" hidden="1">Total!$A$1:$AB$132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1" l="1"/>
  <c r="I2" i="1"/>
  <c r="AB132" i="1"/>
  <c r="AA132" i="1"/>
  <c r="Z132" i="1"/>
  <c r="W132" i="1"/>
  <c r="V132" i="1"/>
  <c r="T132" i="1"/>
  <c r="O132" i="1"/>
  <c r="J132" i="1"/>
  <c r="I132" i="1"/>
  <c r="H132" i="1"/>
  <c r="B132" i="1"/>
  <c r="AB131" i="1"/>
  <c r="AA131" i="1"/>
  <c r="Z131" i="1"/>
  <c r="W131" i="1"/>
  <c r="V131" i="1"/>
  <c r="T131" i="1"/>
  <c r="O131" i="1"/>
  <c r="J131" i="1"/>
  <c r="I131" i="1"/>
  <c r="H131" i="1"/>
  <c r="B131" i="1"/>
  <c r="AB130" i="1"/>
  <c r="AA130" i="1"/>
  <c r="Z130" i="1"/>
  <c r="W130" i="1"/>
  <c r="V130" i="1"/>
  <c r="T130" i="1"/>
  <c r="O130" i="1"/>
  <c r="J130" i="1"/>
  <c r="I130" i="1"/>
  <c r="H130" i="1"/>
  <c r="B130" i="1"/>
  <c r="AB129" i="1"/>
  <c r="AA129" i="1"/>
  <c r="Z129" i="1"/>
  <c r="W129" i="1"/>
  <c r="V129" i="1"/>
  <c r="T129" i="1"/>
  <c r="O129" i="1"/>
  <c r="J129" i="1"/>
  <c r="I129" i="1"/>
  <c r="H129" i="1"/>
  <c r="B129" i="1"/>
  <c r="AB128" i="1"/>
  <c r="AA128" i="1"/>
  <c r="Z128" i="1"/>
  <c r="W128" i="1"/>
  <c r="V128" i="1"/>
  <c r="T128" i="1"/>
  <c r="O128" i="1"/>
  <c r="J128" i="1"/>
  <c r="I128" i="1"/>
  <c r="H128" i="1"/>
  <c r="B128" i="1"/>
  <c r="AB127" i="1"/>
  <c r="AA127" i="1"/>
  <c r="Z127" i="1"/>
  <c r="W127" i="1"/>
  <c r="V127" i="1"/>
  <c r="T127" i="1"/>
  <c r="O127" i="1"/>
  <c r="J127" i="1"/>
  <c r="I127" i="1"/>
  <c r="H127" i="1"/>
  <c r="B127" i="1"/>
  <c r="AB126" i="1"/>
  <c r="AA126" i="1"/>
  <c r="Z126" i="1"/>
  <c r="W126" i="1"/>
  <c r="V126" i="1"/>
  <c r="T126" i="1"/>
  <c r="O126" i="1"/>
  <c r="J126" i="1"/>
  <c r="I126" i="1"/>
  <c r="H126" i="1"/>
  <c r="B126" i="1"/>
  <c r="AB125" i="1"/>
  <c r="AA125" i="1"/>
  <c r="Z125" i="1"/>
  <c r="W125" i="1"/>
  <c r="V125" i="1"/>
  <c r="T125" i="1"/>
  <c r="O125" i="1"/>
  <c r="J125" i="1"/>
  <c r="I125" i="1"/>
  <c r="H125" i="1"/>
  <c r="B125" i="1"/>
  <c r="AB124" i="1"/>
  <c r="AA124" i="1"/>
  <c r="Z124" i="1"/>
  <c r="W124" i="1"/>
  <c r="V124" i="1"/>
  <c r="T124" i="1"/>
  <c r="O124" i="1"/>
  <c r="J124" i="1"/>
  <c r="I124" i="1"/>
  <c r="H124" i="1"/>
  <c r="B124" i="1"/>
  <c r="AB123" i="1"/>
  <c r="AA123" i="1"/>
  <c r="Z123" i="1"/>
  <c r="W123" i="1"/>
  <c r="V123" i="1"/>
  <c r="T123" i="1"/>
  <c r="O123" i="1"/>
  <c r="J123" i="1"/>
  <c r="I123" i="1"/>
  <c r="H123" i="1"/>
  <c r="B123" i="1"/>
  <c r="AB122" i="1"/>
  <c r="AA122" i="1"/>
  <c r="Z122" i="1"/>
  <c r="W122" i="1"/>
  <c r="V122" i="1"/>
  <c r="T122" i="1"/>
  <c r="O122" i="1"/>
  <c r="J122" i="1"/>
  <c r="I122" i="1"/>
  <c r="H122" i="1"/>
  <c r="B122" i="1"/>
  <c r="AB121" i="1"/>
  <c r="AA121" i="1"/>
  <c r="Z121" i="1"/>
  <c r="W121" i="1"/>
  <c r="V121" i="1"/>
  <c r="T121" i="1"/>
  <c r="O121" i="1"/>
  <c r="J121" i="1"/>
  <c r="I121" i="1"/>
  <c r="H121" i="1"/>
  <c r="B121" i="1"/>
  <c r="AB120" i="1"/>
  <c r="AA120" i="1"/>
  <c r="Z120" i="1"/>
  <c r="W120" i="1"/>
  <c r="V120" i="1"/>
  <c r="T120" i="1"/>
  <c r="O120" i="1"/>
  <c r="J120" i="1"/>
  <c r="I120" i="1"/>
  <c r="H120" i="1"/>
  <c r="B120" i="1"/>
  <c r="AB119" i="1"/>
  <c r="AA119" i="1"/>
  <c r="Z119" i="1"/>
  <c r="W119" i="1"/>
  <c r="V119" i="1"/>
  <c r="T119" i="1"/>
  <c r="O119" i="1"/>
  <c r="J119" i="1"/>
  <c r="I119" i="1"/>
  <c r="H119" i="1"/>
  <c r="B119" i="1"/>
  <c r="AB118" i="1"/>
  <c r="AA118" i="1"/>
  <c r="Z118" i="1"/>
  <c r="W118" i="1"/>
  <c r="V118" i="1"/>
  <c r="T118" i="1"/>
  <c r="O118" i="1"/>
  <c r="J118" i="1"/>
  <c r="I118" i="1"/>
  <c r="H118" i="1"/>
  <c r="B118" i="1"/>
  <c r="AB117" i="1"/>
  <c r="AA117" i="1"/>
  <c r="Z117" i="1"/>
  <c r="W117" i="1"/>
  <c r="V117" i="1"/>
  <c r="T117" i="1"/>
  <c r="O117" i="1"/>
  <c r="J117" i="1"/>
  <c r="I117" i="1"/>
  <c r="H117" i="1"/>
  <c r="B117" i="1"/>
  <c r="AB116" i="1"/>
  <c r="AA116" i="1"/>
  <c r="Z116" i="1"/>
  <c r="W116" i="1"/>
  <c r="V116" i="1"/>
  <c r="T116" i="1"/>
  <c r="O116" i="1"/>
  <c r="J116" i="1"/>
  <c r="I116" i="1"/>
  <c r="H116" i="1"/>
  <c r="B116" i="1"/>
  <c r="AB115" i="1"/>
  <c r="AA115" i="1"/>
  <c r="Z115" i="1"/>
  <c r="W115" i="1"/>
  <c r="V115" i="1"/>
  <c r="T115" i="1"/>
  <c r="O115" i="1"/>
  <c r="J115" i="1"/>
  <c r="I115" i="1"/>
  <c r="H115" i="1"/>
  <c r="B115" i="1"/>
  <c r="AB114" i="1"/>
  <c r="AA114" i="1"/>
  <c r="Z114" i="1"/>
  <c r="W114" i="1"/>
  <c r="V114" i="1"/>
  <c r="T114" i="1"/>
  <c r="O114" i="1"/>
  <c r="J114" i="1"/>
  <c r="I114" i="1"/>
  <c r="H114" i="1"/>
  <c r="B114" i="1"/>
  <c r="AB113" i="1"/>
  <c r="AA113" i="1"/>
  <c r="Z113" i="1"/>
  <c r="W113" i="1"/>
  <c r="V113" i="1"/>
  <c r="T113" i="1"/>
  <c r="O113" i="1"/>
  <c r="J113" i="1"/>
  <c r="I113" i="1"/>
  <c r="H113" i="1"/>
  <c r="B113" i="1"/>
  <c r="AB112" i="1"/>
  <c r="AA112" i="1"/>
  <c r="Z112" i="1"/>
  <c r="W112" i="1"/>
  <c r="V112" i="1"/>
  <c r="T112" i="1"/>
  <c r="O112" i="1"/>
  <c r="J112" i="1"/>
  <c r="I112" i="1"/>
  <c r="H112" i="1"/>
  <c r="B112" i="1"/>
  <c r="AB111" i="1"/>
  <c r="AA111" i="1"/>
  <c r="Z111" i="1"/>
  <c r="W111" i="1"/>
  <c r="V111" i="1"/>
  <c r="T111" i="1"/>
  <c r="O111" i="1"/>
  <c r="J111" i="1"/>
  <c r="I111" i="1"/>
  <c r="H111" i="1"/>
  <c r="B111" i="1"/>
  <c r="AB110" i="1"/>
  <c r="AA110" i="1"/>
  <c r="Z110" i="1"/>
  <c r="W110" i="1"/>
  <c r="V110" i="1"/>
  <c r="T110" i="1"/>
  <c r="O110" i="1"/>
  <c r="J110" i="1"/>
  <c r="I110" i="1"/>
  <c r="H110" i="1"/>
  <c r="B110" i="1"/>
  <c r="AB109" i="1"/>
  <c r="AA109" i="1"/>
  <c r="Z109" i="1"/>
  <c r="W109" i="1"/>
  <c r="V109" i="1"/>
  <c r="T109" i="1"/>
  <c r="O109" i="1"/>
  <c r="J109" i="1"/>
  <c r="I109" i="1"/>
  <c r="H109" i="1"/>
  <c r="B109" i="1"/>
  <c r="AB108" i="1"/>
  <c r="AA108" i="1"/>
  <c r="Z108" i="1"/>
  <c r="W108" i="1"/>
  <c r="V108" i="1"/>
  <c r="T108" i="1"/>
  <c r="O108" i="1"/>
  <c r="J108" i="1"/>
  <c r="I108" i="1"/>
  <c r="H108" i="1"/>
  <c r="B108" i="1"/>
  <c r="AB107" i="1"/>
  <c r="AA107" i="1"/>
  <c r="Z107" i="1"/>
  <c r="W107" i="1"/>
  <c r="V107" i="1"/>
  <c r="T107" i="1"/>
  <c r="O107" i="1"/>
  <c r="J107" i="1"/>
  <c r="I107" i="1"/>
  <c r="H107" i="1"/>
  <c r="B107" i="1"/>
  <c r="AB106" i="1"/>
  <c r="AA106" i="1"/>
  <c r="Z106" i="1"/>
  <c r="W106" i="1"/>
  <c r="V106" i="1"/>
  <c r="T106" i="1"/>
  <c r="O106" i="1"/>
  <c r="J106" i="1"/>
  <c r="I106" i="1"/>
  <c r="H106" i="1"/>
  <c r="B106" i="1"/>
  <c r="AB105" i="1"/>
  <c r="AA105" i="1"/>
  <c r="Z105" i="1"/>
  <c r="W105" i="1"/>
  <c r="V105" i="1"/>
  <c r="T105" i="1"/>
  <c r="O105" i="1"/>
  <c r="J105" i="1"/>
  <c r="I105" i="1"/>
  <c r="H105" i="1"/>
  <c r="B105" i="1"/>
  <c r="AB104" i="1"/>
  <c r="AA104" i="1"/>
  <c r="Z104" i="1"/>
  <c r="W104" i="1"/>
  <c r="V104" i="1"/>
  <c r="T104" i="1"/>
  <c r="O104" i="1"/>
  <c r="J104" i="1"/>
  <c r="I104" i="1"/>
  <c r="H104" i="1"/>
  <c r="B104" i="1"/>
  <c r="AB103" i="1"/>
  <c r="AA103" i="1"/>
  <c r="Z103" i="1"/>
  <c r="W103" i="1"/>
  <c r="V103" i="1"/>
  <c r="T103" i="1"/>
  <c r="O103" i="1"/>
  <c r="J103" i="1"/>
  <c r="I103" i="1"/>
  <c r="H103" i="1"/>
  <c r="B103" i="1"/>
  <c r="AB102" i="1"/>
  <c r="AA102" i="1"/>
  <c r="Z102" i="1"/>
  <c r="W102" i="1"/>
  <c r="V102" i="1"/>
  <c r="T102" i="1"/>
  <c r="O102" i="1"/>
  <c r="J102" i="1"/>
  <c r="I102" i="1"/>
  <c r="H102" i="1"/>
  <c r="B102" i="1"/>
  <c r="AB101" i="1"/>
  <c r="AA101" i="1"/>
  <c r="Z101" i="1"/>
  <c r="W101" i="1"/>
  <c r="V101" i="1"/>
  <c r="T101" i="1"/>
  <c r="O101" i="1"/>
  <c r="J101" i="1"/>
  <c r="I101" i="1"/>
  <c r="H101" i="1"/>
  <c r="B101" i="1"/>
  <c r="AB100" i="1"/>
  <c r="AA100" i="1"/>
  <c r="Z100" i="1"/>
  <c r="W100" i="1"/>
  <c r="V100" i="1"/>
  <c r="T100" i="1"/>
  <c r="O100" i="1"/>
  <c r="J100" i="1"/>
  <c r="I100" i="1"/>
  <c r="H100" i="1"/>
  <c r="B100" i="1"/>
  <c r="AB99" i="1"/>
  <c r="AA99" i="1"/>
  <c r="Z99" i="1"/>
  <c r="W99" i="1"/>
  <c r="V99" i="1"/>
  <c r="T99" i="1"/>
  <c r="O99" i="1"/>
  <c r="J99" i="1"/>
  <c r="I99" i="1"/>
  <c r="H99" i="1"/>
  <c r="B99" i="1"/>
  <c r="AB98" i="1"/>
  <c r="AA98" i="1"/>
  <c r="Z98" i="1"/>
  <c r="W98" i="1"/>
  <c r="V98" i="1"/>
  <c r="T98" i="1"/>
  <c r="O98" i="1"/>
  <c r="J98" i="1"/>
  <c r="I98" i="1"/>
  <c r="H98" i="1"/>
  <c r="B98" i="1"/>
  <c r="AB97" i="1"/>
  <c r="AA97" i="1"/>
  <c r="Z97" i="1"/>
  <c r="W97" i="1"/>
  <c r="V97" i="1"/>
  <c r="T97" i="1"/>
  <c r="O97" i="1"/>
  <c r="J97" i="1"/>
  <c r="I97" i="1"/>
  <c r="H97" i="1"/>
  <c r="B97" i="1"/>
  <c r="AB96" i="1"/>
  <c r="AA96" i="1"/>
  <c r="Z96" i="1"/>
  <c r="W96" i="1"/>
  <c r="V96" i="1"/>
  <c r="T96" i="1"/>
  <c r="O96" i="1"/>
  <c r="J96" i="1"/>
  <c r="I96" i="1"/>
  <c r="H96" i="1"/>
  <c r="B96" i="1"/>
  <c r="AB95" i="1"/>
  <c r="AA95" i="1"/>
  <c r="Z95" i="1"/>
  <c r="W95" i="1"/>
  <c r="V95" i="1"/>
  <c r="T95" i="1"/>
  <c r="O95" i="1"/>
  <c r="J95" i="1"/>
  <c r="I95" i="1"/>
  <c r="H95" i="1"/>
  <c r="B95" i="1"/>
  <c r="AB94" i="1"/>
  <c r="AA94" i="1"/>
  <c r="Z94" i="1"/>
  <c r="W94" i="1"/>
  <c r="V94" i="1"/>
  <c r="T94" i="1"/>
  <c r="O94" i="1"/>
  <c r="J94" i="1"/>
  <c r="I94" i="1"/>
  <c r="H94" i="1"/>
  <c r="B94" i="1"/>
  <c r="AB93" i="1"/>
  <c r="AA93" i="1"/>
  <c r="Z93" i="1"/>
  <c r="W93" i="1"/>
  <c r="V93" i="1"/>
  <c r="T93" i="1"/>
  <c r="O93" i="1"/>
  <c r="J93" i="1"/>
  <c r="I93" i="1"/>
  <c r="H93" i="1"/>
  <c r="B93" i="1"/>
  <c r="AB92" i="1"/>
  <c r="AA92" i="1"/>
  <c r="Z92" i="1"/>
  <c r="W92" i="1"/>
  <c r="V92" i="1"/>
  <c r="T92" i="1"/>
  <c r="O92" i="1"/>
  <c r="J92" i="1"/>
  <c r="I92" i="1"/>
  <c r="H92" i="1"/>
  <c r="B92" i="1"/>
  <c r="AB91" i="1"/>
  <c r="AA91" i="1"/>
  <c r="Z91" i="1"/>
  <c r="W91" i="1"/>
  <c r="V91" i="1"/>
  <c r="T91" i="1"/>
  <c r="O91" i="1"/>
  <c r="J91" i="1"/>
  <c r="I91" i="1"/>
  <c r="H91" i="1"/>
  <c r="B91" i="1"/>
  <c r="AB90" i="1"/>
  <c r="AA90" i="1"/>
  <c r="Z90" i="1"/>
  <c r="W90" i="1"/>
  <c r="V90" i="1"/>
  <c r="T90" i="1"/>
  <c r="O90" i="1"/>
  <c r="J90" i="1"/>
  <c r="I90" i="1"/>
  <c r="H90" i="1"/>
  <c r="B90" i="1"/>
  <c r="AB89" i="1"/>
  <c r="AA89" i="1"/>
  <c r="Z89" i="1"/>
  <c r="W89" i="1"/>
  <c r="V89" i="1"/>
  <c r="T89" i="1"/>
  <c r="O89" i="1"/>
  <c r="J89" i="1"/>
  <c r="I89" i="1"/>
  <c r="H89" i="1"/>
  <c r="B89" i="1"/>
  <c r="AB88" i="1"/>
  <c r="AA88" i="1"/>
  <c r="Z88" i="1"/>
  <c r="W88" i="1"/>
  <c r="V88" i="1"/>
  <c r="T88" i="1"/>
  <c r="O88" i="1"/>
  <c r="J88" i="1"/>
  <c r="I88" i="1"/>
  <c r="H88" i="1"/>
  <c r="B88" i="1"/>
  <c r="AB87" i="1"/>
  <c r="AA87" i="1"/>
  <c r="Z87" i="1"/>
  <c r="W87" i="1"/>
  <c r="V87" i="1"/>
  <c r="T87" i="1"/>
  <c r="O87" i="1"/>
  <c r="J87" i="1"/>
  <c r="I87" i="1"/>
  <c r="H87" i="1"/>
  <c r="B87" i="1"/>
  <c r="AB86" i="1"/>
  <c r="AA86" i="1"/>
  <c r="Z86" i="1"/>
  <c r="W86" i="1"/>
  <c r="V86" i="1"/>
  <c r="T86" i="1"/>
  <c r="O86" i="1"/>
  <c r="J86" i="1"/>
  <c r="I86" i="1"/>
  <c r="H86" i="1"/>
  <c r="B86" i="1"/>
  <c r="AB85" i="1"/>
  <c r="AA85" i="1"/>
  <c r="Z85" i="1"/>
  <c r="W85" i="1"/>
  <c r="V85" i="1"/>
  <c r="T85" i="1"/>
  <c r="O85" i="1"/>
  <c r="J85" i="1"/>
  <c r="I85" i="1"/>
  <c r="H85" i="1"/>
  <c r="B85" i="1"/>
  <c r="AB84" i="1"/>
  <c r="AA84" i="1"/>
  <c r="Z84" i="1"/>
  <c r="W84" i="1"/>
  <c r="V84" i="1"/>
  <c r="T84" i="1"/>
  <c r="O84" i="1"/>
  <c r="J84" i="1"/>
  <c r="I84" i="1"/>
  <c r="H84" i="1"/>
  <c r="B84" i="1"/>
  <c r="AB83" i="1"/>
  <c r="AA83" i="1"/>
  <c r="Z83" i="1"/>
  <c r="W83" i="1"/>
  <c r="V83" i="1"/>
  <c r="T83" i="1"/>
  <c r="O83" i="1"/>
  <c r="J83" i="1"/>
  <c r="I83" i="1"/>
  <c r="H83" i="1"/>
  <c r="B83" i="1"/>
  <c r="AB82" i="1"/>
  <c r="AA82" i="1"/>
  <c r="Z82" i="1"/>
  <c r="W82" i="1"/>
  <c r="V82" i="1"/>
  <c r="T82" i="1"/>
  <c r="O82" i="1"/>
  <c r="J82" i="1"/>
  <c r="I82" i="1"/>
  <c r="H82" i="1"/>
  <c r="B82" i="1"/>
  <c r="AB81" i="1"/>
  <c r="AA81" i="1"/>
  <c r="Z81" i="1"/>
  <c r="W81" i="1"/>
  <c r="V81" i="1"/>
  <c r="T81" i="1"/>
  <c r="O81" i="1"/>
  <c r="J81" i="1"/>
  <c r="I81" i="1"/>
  <c r="H81" i="1"/>
  <c r="B81" i="1"/>
  <c r="AB80" i="1"/>
  <c r="AA80" i="1"/>
  <c r="Z80" i="1"/>
  <c r="W80" i="1"/>
  <c r="V80" i="1"/>
  <c r="T80" i="1"/>
  <c r="O80" i="1"/>
  <c r="J80" i="1"/>
  <c r="I80" i="1"/>
  <c r="H80" i="1"/>
  <c r="B80" i="1"/>
  <c r="AB79" i="1"/>
  <c r="AA79" i="1"/>
  <c r="Z79" i="1"/>
  <c r="W79" i="1"/>
  <c r="V79" i="1"/>
  <c r="T79" i="1"/>
  <c r="O79" i="1"/>
  <c r="J79" i="1"/>
  <c r="I79" i="1"/>
  <c r="H79" i="1"/>
  <c r="B79" i="1"/>
  <c r="AB78" i="1"/>
  <c r="AA78" i="1"/>
  <c r="Z78" i="1"/>
  <c r="W78" i="1"/>
  <c r="V78" i="1"/>
  <c r="T78" i="1"/>
  <c r="O78" i="1"/>
  <c r="J78" i="1"/>
  <c r="I78" i="1"/>
  <c r="H78" i="1"/>
  <c r="B78" i="1"/>
  <c r="AB77" i="1"/>
  <c r="AA77" i="1"/>
  <c r="Z77" i="1"/>
  <c r="W77" i="1"/>
  <c r="V77" i="1"/>
  <c r="T77" i="1"/>
  <c r="O77" i="1"/>
  <c r="J77" i="1"/>
  <c r="I77" i="1"/>
  <c r="H77" i="1"/>
  <c r="B77" i="1"/>
  <c r="AB76" i="1"/>
  <c r="AA76" i="1"/>
  <c r="Z76" i="1"/>
  <c r="W76" i="1"/>
  <c r="V76" i="1"/>
  <c r="T76" i="1"/>
  <c r="O76" i="1"/>
  <c r="J76" i="1"/>
  <c r="I76" i="1"/>
  <c r="H76" i="1"/>
  <c r="B76" i="1"/>
  <c r="AB75" i="1"/>
  <c r="AA75" i="1"/>
  <c r="Z75" i="1"/>
  <c r="W75" i="1"/>
  <c r="V75" i="1"/>
  <c r="T75" i="1"/>
  <c r="O75" i="1"/>
  <c r="J75" i="1"/>
  <c r="I75" i="1"/>
  <c r="H75" i="1"/>
  <c r="B75" i="1"/>
  <c r="AB74" i="1"/>
  <c r="AA74" i="1"/>
  <c r="Z74" i="1"/>
  <c r="W74" i="1"/>
  <c r="V74" i="1"/>
  <c r="T74" i="1"/>
  <c r="O74" i="1"/>
  <c r="J74" i="1"/>
  <c r="I74" i="1"/>
  <c r="H74" i="1"/>
  <c r="B74" i="1"/>
  <c r="AB73" i="1"/>
  <c r="AA73" i="1"/>
  <c r="Z73" i="1"/>
  <c r="W73" i="1"/>
  <c r="V73" i="1"/>
  <c r="T73" i="1"/>
  <c r="O73" i="1"/>
  <c r="J73" i="1"/>
  <c r="I73" i="1"/>
  <c r="H73" i="1"/>
  <c r="B73" i="1"/>
  <c r="AB72" i="1"/>
  <c r="AA72" i="1"/>
  <c r="Z72" i="1"/>
  <c r="W72" i="1"/>
  <c r="V72" i="1"/>
  <c r="T72" i="1"/>
  <c r="O72" i="1"/>
  <c r="J72" i="1"/>
  <c r="I72" i="1"/>
  <c r="H72" i="1"/>
  <c r="B72" i="1"/>
  <c r="AB71" i="1"/>
  <c r="AA71" i="1"/>
  <c r="Z71" i="1"/>
  <c r="W71" i="1"/>
  <c r="V71" i="1"/>
  <c r="T71" i="1"/>
  <c r="O71" i="1"/>
  <c r="J71" i="1"/>
  <c r="I71" i="1"/>
  <c r="H71" i="1"/>
  <c r="B71" i="1"/>
  <c r="AB70" i="1"/>
  <c r="AA70" i="1"/>
  <c r="Z70" i="1"/>
  <c r="W70" i="1"/>
  <c r="V70" i="1"/>
  <c r="T70" i="1"/>
  <c r="O70" i="1"/>
  <c r="J70" i="1"/>
  <c r="I70" i="1"/>
  <c r="H70" i="1"/>
  <c r="B70" i="1"/>
  <c r="AB69" i="1"/>
  <c r="AA69" i="1"/>
  <c r="Z69" i="1"/>
  <c r="W69" i="1"/>
  <c r="V69" i="1"/>
  <c r="T69" i="1"/>
  <c r="O69" i="1"/>
  <c r="J69" i="1"/>
  <c r="I69" i="1"/>
  <c r="H69" i="1"/>
  <c r="B69" i="1"/>
  <c r="AB68" i="1"/>
  <c r="AA68" i="1"/>
  <c r="Z68" i="1"/>
  <c r="W68" i="1"/>
  <c r="V68" i="1"/>
  <c r="T68" i="1"/>
  <c r="O68" i="1"/>
  <c r="J68" i="1"/>
  <c r="I68" i="1"/>
  <c r="H68" i="1"/>
  <c r="B68" i="1"/>
  <c r="AB67" i="1"/>
  <c r="AA67" i="1"/>
  <c r="Z67" i="1"/>
  <c r="W67" i="1"/>
  <c r="V67" i="1"/>
  <c r="T67" i="1"/>
  <c r="O67" i="1"/>
  <c r="J67" i="1"/>
  <c r="I67" i="1"/>
  <c r="H67" i="1"/>
  <c r="B67" i="1"/>
  <c r="AB66" i="1"/>
  <c r="AA66" i="1"/>
  <c r="Z66" i="1"/>
  <c r="W66" i="1"/>
  <c r="V66" i="1"/>
  <c r="T66" i="1"/>
  <c r="O66" i="1"/>
  <c r="J66" i="1"/>
  <c r="I66" i="1"/>
  <c r="H66" i="1"/>
  <c r="B66" i="1"/>
  <c r="AB65" i="1"/>
  <c r="AA65" i="1"/>
  <c r="Z65" i="1"/>
  <c r="W65" i="1"/>
  <c r="V65" i="1"/>
  <c r="T65" i="1"/>
  <c r="O65" i="1"/>
  <c r="J65" i="1"/>
  <c r="I65" i="1"/>
  <c r="H65" i="1"/>
  <c r="B65" i="1"/>
  <c r="AB64" i="1"/>
  <c r="AA64" i="1"/>
  <c r="Z64" i="1"/>
  <c r="W64" i="1"/>
  <c r="V64" i="1"/>
  <c r="T64" i="1"/>
  <c r="O64" i="1"/>
  <c r="J64" i="1"/>
  <c r="I64" i="1"/>
  <c r="H64" i="1"/>
  <c r="B64" i="1"/>
  <c r="AB63" i="1"/>
  <c r="AA63" i="1"/>
  <c r="Z63" i="1"/>
  <c r="W63" i="1"/>
  <c r="V63" i="1"/>
  <c r="T63" i="1"/>
  <c r="O63" i="1"/>
  <c r="J63" i="1"/>
  <c r="I63" i="1"/>
  <c r="H63" i="1"/>
  <c r="B63" i="1"/>
  <c r="AB62" i="1"/>
  <c r="AA62" i="1"/>
  <c r="Z62" i="1"/>
  <c r="W62" i="1"/>
  <c r="V62" i="1"/>
  <c r="T62" i="1"/>
  <c r="O62" i="1"/>
  <c r="J62" i="1"/>
  <c r="I62" i="1"/>
  <c r="H62" i="1"/>
  <c r="B62" i="1"/>
  <c r="AB61" i="1"/>
  <c r="AA61" i="1"/>
  <c r="Z61" i="1"/>
  <c r="W61" i="1"/>
  <c r="V61" i="1"/>
  <c r="T61" i="1"/>
  <c r="O61" i="1"/>
  <c r="J61" i="1"/>
  <c r="I61" i="1"/>
  <c r="H61" i="1"/>
  <c r="B61" i="1"/>
  <c r="AB60" i="1"/>
  <c r="AA60" i="1"/>
  <c r="Z60" i="1"/>
  <c r="W60" i="1"/>
  <c r="V60" i="1"/>
  <c r="T60" i="1"/>
  <c r="O60" i="1"/>
  <c r="J60" i="1"/>
  <c r="I60" i="1"/>
  <c r="H60" i="1"/>
  <c r="B60" i="1"/>
  <c r="AB59" i="1"/>
  <c r="AA59" i="1"/>
  <c r="Z59" i="1"/>
  <c r="W59" i="1"/>
  <c r="V59" i="1"/>
  <c r="T59" i="1"/>
  <c r="O59" i="1"/>
  <c r="J59" i="1"/>
  <c r="I59" i="1"/>
  <c r="H59" i="1"/>
  <c r="B59" i="1"/>
  <c r="AB58" i="1"/>
  <c r="AA58" i="1"/>
  <c r="Z58" i="1"/>
  <c r="W58" i="1"/>
  <c r="V58" i="1"/>
  <c r="T58" i="1"/>
  <c r="O58" i="1"/>
  <c r="J58" i="1"/>
  <c r="I58" i="1"/>
  <c r="H58" i="1"/>
  <c r="B58" i="1"/>
  <c r="AB57" i="1"/>
  <c r="AA57" i="1"/>
  <c r="Z57" i="1"/>
  <c r="W57" i="1"/>
  <c r="V57" i="1"/>
  <c r="T57" i="1"/>
  <c r="O57" i="1"/>
  <c r="J57" i="1"/>
  <c r="I57" i="1"/>
  <c r="H57" i="1"/>
  <c r="B57" i="1"/>
  <c r="AB56" i="1"/>
  <c r="AA56" i="1"/>
  <c r="Z56" i="1"/>
  <c r="W56" i="1"/>
  <c r="V56" i="1"/>
  <c r="T56" i="1"/>
  <c r="O56" i="1"/>
  <c r="J56" i="1"/>
  <c r="I56" i="1"/>
  <c r="H56" i="1"/>
  <c r="B56" i="1"/>
  <c r="AB55" i="1"/>
  <c r="AA55" i="1"/>
  <c r="Z55" i="1"/>
  <c r="W55" i="1"/>
  <c r="V55" i="1"/>
  <c r="T55" i="1"/>
  <c r="O55" i="1"/>
  <c r="J55" i="1"/>
  <c r="I55" i="1"/>
  <c r="H55" i="1"/>
  <c r="B55" i="1"/>
  <c r="AB54" i="1"/>
  <c r="AA54" i="1"/>
  <c r="Z54" i="1"/>
  <c r="W54" i="1"/>
  <c r="V54" i="1"/>
  <c r="T54" i="1"/>
  <c r="O54" i="1"/>
  <c r="J54" i="1"/>
  <c r="I54" i="1"/>
  <c r="H54" i="1"/>
  <c r="B54" i="1"/>
  <c r="AB53" i="1"/>
  <c r="AA53" i="1"/>
  <c r="Z53" i="1"/>
  <c r="W53" i="1"/>
  <c r="V53" i="1"/>
  <c r="T53" i="1"/>
  <c r="O53" i="1"/>
  <c r="J53" i="1"/>
  <c r="I53" i="1"/>
  <c r="H53" i="1"/>
  <c r="B53" i="1"/>
  <c r="AB52" i="1"/>
  <c r="AA52" i="1"/>
  <c r="Z52" i="1"/>
  <c r="W52" i="1"/>
  <c r="V52" i="1"/>
  <c r="T52" i="1"/>
  <c r="O52" i="1"/>
  <c r="J52" i="1"/>
  <c r="I52" i="1"/>
  <c r="H52" i="1"/>
  <c r="B52" i="1"/>
  <c r="AB51" i="1"/>
  <c r="AA51" i="1"/>
  <c r="Z51" i="1"/>
  <c r="W51" i="1"/>
  <c r="V51" i="1"/>
  <c r="T51" i="1"/>
  <c r="O51" i="1"/>
  <c r="J51" i="1"/>
  <c r="I51" i="1"/>
  <c r="H51" i="1"/>
  <c r="B51" i="1"/>
  <c r="AB50" i="1"/>
  <c r="AA50" i="1"/>
  <c r="Z50" i="1"/>
  <c r="W50" i="1"/>
  <c r="V50" i="1"/>
  <c r="T50" i="1"/>
  <c r="O50" i="1"/>
  <c r="J50" i="1"/>
  <c r="I50" i="1"/>
  <c r="H50" i="1"/>
  <c r="B50" i="1"/>
  <c r="AB49" i="1"/>
  <c r="AA49" i="1"/>
  <c r="Z49" i="1"/>
  <c r="W49" i="1"/>
  <c r="V49" i="1"/>
  <c r="T49" i="1"/>
  <c r="O49" i="1"/>
  <c r="J49" i="1"/>
  <c r="I49" i="1"/>
  <c r="H49" i="1"/>
  <c r="B49" i="1"/>
  <c r="AB48" i="1"/>
  <c r="AA48" i="1"/>
  <c r="Z48" i="1"/>
  <c r="W48" i="1"/>
  <c r="V48" i="1"/>
  <c r="T48" i="1"/>
  <c r="O48" i="1"/>
  <c r="J48" i="1"/>
  <c r="I48" i="1"/>
  <c r="H48" i="1"/>
  <c r="B48" i="1"/>
  <c r="AB47" i="1"/>
  <c r="AA47" i="1"/>
  <c r="Z47" i="1"/>
  <c r="W47" i="1"/>
  <c r="V47" i="1"/>
  <c r="T47" i="1"/>
  <c r="O47" i="1"/>
  <c r="J47" i="1"/>
  <c r="I47" i="1"/>
  <c r="H47" i="1"/>
  <c r="B47" i="1"/>
  <c r="AB46" i="1"/>
  <c r="AA46" i="1"/>
  <c r="Z46" i="1"/>
  <c r="W46" i="1"/>
  <c r="V46" i="1"/>
  <c r="T46" i="1"/>
  <c r="O46" i="1"/>
  <c r="J46" i="1"/>
  <c r="I46" i="1"/>
  <c r="H46" i="1"/>
  <c r="B46" i="1"/>
  <c r="AB45" i="1"/>
  <c r="AA45" i="1"/>
  <c r="Z45" i="1"/>
  <c r="W45" i="1"/>
  <c r="V45" i="1"/>
  <c r="T45" i="1"/>
  <c r="O45" i="1"/>
  <c r="J45" i="1"/>
  <c r="I45" i="1"/>
  <c r="H45" i="1"/>
  <c r="B45" i="1"/>
  <c r="AB44" i="1"/>
  <c r="AA44" i="1"/>
  <c r="Z44" i="1"/>
  <c r="W44" i="1"/>
  <c r="V44" i="1"/>
  <c r="T44" i="1"/>
  <c r="O44" i="1"/>
  <c r="J44" i="1"/>
  <c r="I44" i="1"/>
  <c r="H44" i="1"/>
  <c r="B44" i="1"/>
  <c r="AB43" i="1"/>
  <c r="AA43" i="1"/>
  <c r="Z43" i="1"/>
  <c r="W43" i="1"/>
  <c r="V43" i="1"/>
  <c r="T43" i="1"/>
  <c r="O43" i="1"/>
  <c r="J43" i="1"/>
  <c r="I43" i="1"/>
  <c r="H43" i="1"/>
  <c r="B43" i="1"/>
  <c r="AB42" i="1"/>
  <c r="AA42" i="1"/>
  <c r="Z42" i="1"/>
  <c r="W42" i="1"/>
  <c r="V42" i="1"/>
  <c r="T42" i="1"/>
  <c r="O42" i="1"/>
  <c r="J42" i="1"/>
  <c r="I42" i="1"/>
  <c r="H42" i="1"/>
  <c r="B42" i="1"/>
  <c r="AB41" i="1"/>
  <c r="AA41" i="1"/>
  <c r="Z41" i="1"/>
  <c r="W41" i="1"/>
  <c r="V41" i="1"/>
  <c r="T41" i="1"/>
  <c r="O41" i="1"/>
  <c r="J41" i="1"/>
  <c r="I41" i="1"/>
  <c r="H41" i="1"/>
  <c r="B41" i="1"/>
  <c r="AB40" i="1"/>
  <c r="AA40" i="1"/>
  <c r="Z40" i="1"/>
  <c r="W40" i="1"/>
  <c r="V40" i="1"/>
  <c r="T40" i="1"/>
  <c r="O40" i="1"/>
  <c r="J40" i="1"/>
  <c r="I40" i="1"/>
  <c r="H40" i="1"/>
  <c r="B40" i="1"/>
  <c r="AB39" i="1"/>
  <c r="AA39" i="1"/>
  <c r="Z39" i="1"/>
  <c r="W39" i="1"/>
  <c r="V39" i="1"/>
  <c r="T39" i="1"/>
  <c r="O39" i="1"/>
  <c r="J39" i="1"/>
  <c r="I39" i="1"/>
  <c r="H39" i="1"/>
  <c r="B39" i="1"/>
  <c r="AB38" i="1"/>
  <c r="AA38" i="1"/>
  <c r="Z38" i="1"/>
  <c r="W38" i="1"/>
  <c r="V38" i="1"/>
  <c r="T38" i="1"/>
  <c r="O38" i="1"/>
  <c r="J38" i="1"/>
  <c r="I38" i="1"/>
  <c r="H38" i="1"/>
  <c r="B38" i="1"/>
  <c r="AB37" i="1"/>
  <c r="AA37" i="1"/>
  <c r="Z37" i="1"/>
  <c r="W37" i="1"/>
  <c r="V37" i="1"/>
  <c r="T37" i="1"/>
  <c r="O37" i="1"/>
  <c r="J37" i="1"/>
  <c r="I37" i="1"/>
  <c r="H37" i="1"/>
  <c r="B37" i="1"/>
  <c r="AB36" i="1"/>
  <c r="AA36" i="1"/>
  <c r="Z36" i="1"/>
  <c r="W36" i="1"/>
  <c r="V36" i="1"/>
  <c r="T36" i="1"/>
  <c r="O36" i="1"/>
  <c r="J36" i="1"/>
  <c r="I36" i="1"/>
  <c r="H36" i="1"/>
  <c r="B36" i="1"/>
  <c r="AB35" i="1"/>
  <c r="AA35" i="1"/>
  <c r="Z35" i="1"/>
  <c r="W35" i="1"/>
  <c r="V35" i="1"/>
  <c r="T35" i="1"/>
  <c r="O35" i="1"/>
  <c r="J35" i="1"/>
  <c r="I35" i="1"/>
  <c r="H35" i="1"/>
  <c r="B35" i="1"/>
  <c r="AB34" i="1"/>
  <c r="AA34" i="1"/>
  <c r="Z34" i="1"/>
  <c r="W34" i="1"/>
  <c r="V34" i="1"/>
  <c r="T34" i="1"/>
  <c r="O34" i="1"/>
  <c r="J34" i="1"/>
  <c r="I34" i="1"/>
  <c r="H34" i="1"/>
  <c r="B34" i="1"/>
  <c r="AB33" i="1"/>
  <c r="AA33" i="1"/>
  <c r="Z33" i="1"/>
  <c r="W33" i="1"/>
  <c r="V33" i="1"/>
  <c r="T33" i="1"/>
  <c r="O33" i="1"/>
  <c r="J33" i="1"/>
  <c r="I33" i="1"/>
  <c r="H33" i="1"/>
  <c r="B33" i="1"/>
  <c r="AB32" i="1"/>
  <c r="AA32" i="1"/>
  <c r="Z32" i="1"/>
  <c r="W32" i="1"/>
  <c r="V32" i="1"/>
  <c r="T32" i="1"/>
  <c r="O32" i="1"/>
  <c r="J32" i="1"/>
  <c r="I32" i="1"/>
  <c r="H32" i="1"/>
  <c r="B32" i="1"/>
  <c r="AB31" i="1"/>
  <c r="AA31" i="1"/>
  <c r="Z31" i="1"/>
  <c r="W31" i="1"/>
  <c r="V31" i="1"/>
  <c r="T31" i="1"/>
  <c r="O31" i="1"/>
  <c r="J31" i="1"/>
  <c r="I31" i="1"/>
  <c r="H31" i="1"/>
  <c r="B31" i="1"/>
  <c r="AB30" i="1"/>
  <c r="AA30" i="1"/>
  <c r="Z30" i="1"/>
  <c r="W30" i="1"/>
  <c r="V30" i="1"/>
  <c r="T30" i="1"/>
  <c r="O30" i="1"/>
  <c r="J30" i="1"/>
  <c r="I30" i="1"/>
  <c r="H30" i="1"/>
  <c r="B30" i="1"/>
  <c r="AB29" i="1"/>
  <c r="AA29" i="1"/>
  <c r="Z29" i="1"/>
  <c r="W29" i="1"/>
  <c r="V29" i="1"/>
  <c r="T29" i="1"/>
  <c r="O29" i="1"/>
  <c r="J29" i="1"/>
  <c r="I29" i="1"/>
  <c r="H29" i="1"/>
  <c r="B29" i="1"/>
  <c r="AB28" i="1"/>
  <c r="AA28" i="1"/>
  <c r="Z28" i="1"/>
  <c r="W28" i="1"/>
  <c r="V28" i="1"/>
  <c r="T28" i="1"/>
  <c r="O28" i="1"/>
  <c r="J28" i="1"/>
  <c r="I28" i="1"/>
  <c r="H28" i="1"/>
  <c r="B28" i="1"/>
  <c r="AB27" i="1"/>
  <c r="AA27" i="1"/>
  <c r="Z27" i="1"/>
  <c r="W27" i="1"/>
  <c r="V27" i="1"/>
  <c r="T27" i="1"/>
  <c r="O27" i="1"/>
  <c r="J27" i="1"/>
  <c r="I27" i="1"/>
  <c r="H27" i="1"/>
  <c r="B27" i="1"/>
  <c r="AB26" i="1"/>
  <c r="AA26" i="1"/>
  <c r="Z26" i="1"/>
  <c r="W26" i="1"/>
  <c r="V26" i="1"/>
  <c r="T26" i="1"/>
  <c r="O26" i="1"/>
  <c r="J26" i="1"/>
  <c r="I26" i="1"/>
  <c r="H26" i="1"/>
  <c r="B26" i="1"/>
  <c r="AB25" i="1"/>
  <c r="AA25" i="1"/>
  <c r="Z25" i="1"/>
  <c r="W25" i="1"/>
  <c r="V25" i="1"/>
  <c r="T25" i="1"/>
  <c r="O25" i="1"/>
  <c r="J25" i="1"/>
  <c r="I25" i="1"/>
  <c r="H25" i="1"/>
  <c r="B25" i="1"/>
  <c r="AB24" i="1"/>
  <c r="AA24" i="1"/>
  <c r="Z24" i="1"/>
  <c r="W24" i="1"/>
  <c r="V24" i="1"/>
  <c r="T24" i="1"/>
  <c r="O24" i="1"/>
  <c r="J24" i="1"/>
  <c r="I24" i="1"/>
  <c r="H24" i="1"/>
  <c r="B24" i="1"/>
  <c r="AB23" i="1"/>
  <c r="AA23" i="1"/>
  <c r="Z23" i="1"/>
  <c r="W23" i="1"/>
  <c r="V23" i="1"/>
  <c r="T23" i="1"/>
  <c r="O23" i="1"/>
  <c r="J23" i="1"/>
  <c r="I23" i="1"/>
  <c r="H23" i="1"/>
  <c r="B23" i="1"/>
  <c r="AB22" i="1"/>
  <c r="AA22" i="1"/>
  <c r="Z22" i="1"/>
  <c r="W22" i="1"/>
  <c r="V22" i="1"/>
  <c r="T22" i="1"/>
  <c r="O22" i="1"/>
  <c r="J22" i="1"/>
  <c r="I22" i="1"/>
  <c r="H22" i="1"/>
  <c r="B22" i="1"/>
  <c r="AB21" i="1"/>
  <c r="AA21" i="1"/>
  <c r="Z21" i="1"/>
  <c r="W21" i="1"/>
  <c r="V21" i="1"/>
  <c r="T21" i="1"/>
  <c r="O21" i="1"/>
  <c r="J21" i="1"/>
  <c r="I21" i="1"/>
  <c r="H21" i="1"/>
  <c r="B21" i="1"/>
  <c r="AB20" i="1"/>
  <c r="AA20" i="1"/>
  <c r="Z20" i="1"/>
  <c r="W20" i="1"/>
  <c r="V20" i="1"/>
  <c r="T20" i="1"/>
  <c r="O20" i="1"/>
  <c r="J20" i="1"/>
  <c r="I20" i="1"/>
  <c r="H20" i="1"/>
  <c r="B20" i="1"/>
  <c r="AB19" i="1"/>
  <c r="AA19" i="1"/>
  <c r="Z19" i="1"/>
  <c r="W19" i="1"/>
  <c r="V19" i="1"/>
  <c r="T19" i="1"/>
  <c r="O19" i="1"/>
  <c r="J19" i="1"/>
  <c r="I19" i="1"/>
  <c r="H19" i="1"/>
  <c r="B19" i="1"/>
  <c r="AB18" i="1"/>
  <c r="AA18" i="1"/>
  <c r="Z18" i="1"/>
  <c r="W18" i="1"/>
  <c r="V18" i="1"/>
  <c r="T18" i="1"/>
  <c r="O18" i="1"/>
  <c r="J18" i="1"/>
  <c r="I18" i="1"/>
  <c r="H18" i="1"/>
  <c r="B18" i="1"/>
  <c r="AB17" i="1"/>
  <c r="AA17" i="1"/>
  <c r="Z17" i="1"/>
  <c r="W17" i="1"/>
  <c r="V17" i="1"/>
  <c r="T17" i="1"/>
  <c r="O17" i="1"/>
  <c r="J17" i="1"/>
  <c r="I17" i="1"/>
  <c r="H17" i="1"/>
  <c r="B17" i="1"/>
  <c r="AB16" i="1"/>
  <c r="AA16" i="1"/>
  <c r="Z16" i="1"/>
  <c r="W16" i="1"/>
  <c r="V16" i="1"/>
  <c r="T16" i="1"/>
  <c r="O16" i="1"/>
  <c r="J16" i="1"/>
  <c r="I16" i="1"/>
  <c r="H16" i="1"/>
  <c r="B16" i="1"/>
  <c r="AB15" i="1"/>
  <c r="AA15" i="1"/>
  <c r="Z15" i="1"/>
  <c r="W15" i="1"/>
  <c r="V15" i="1"/>
  <c r="T15" i="1"/>
  <c r="O15" i="1"/>
  <c r="J15" i="1"/>
  <c r="I15" i="1"/>
  <c r="H15" i="1"/>
  <c r="B15" i="1"/>
  <c r="AB14" i="1"/>
  <c r="AA14" i="1"/>
  <c r="Z14" i="1"/>
  <c r="W14" i="1"/>
  <c r="V14" i="1"/>
  <c r="T14" i="1"/>
  <c r="O14" i="1"/>
  <c r="J14" i="1"/>
  <c r="I14" i="1"/>
  <c r="H14" i="1"/>
  <c r="B14" i="1"/>
  <c r="AB13" i="1"/>
  <c r="AA13" i="1"/>
  <c r="Z13" i="1"/>
  <c r="W13" i="1"/>
  <c r="V13" i="1"/>
  <c r="T13" i="1"/>
  <c r="O13" i="1"/>
  <c r="J13" i="1"/>
  <c r="I13" i="1"/>
  <c r="H13" i="1"/>
  <c r="B13" i="1"/>
  <c r="AB12" i="1"/>
  <c r="AA12" i="1"/>
  <c r="Z12" i="1"/>
  <c r="W12" i="1"/>
  <c r="V12" i="1"/>
  <c r="T12" i="1"/>
  <c r="O12" i="1"/>
  <c r="J12" i="1"/>
  <c r="I12" i="1"/>
  <c r="H12" i="1"/>
  <c r="B12" i="1"/>
  <c r="AB11" i="1"/>
  <c r="AA11" i="1"/>
  <c r="Z11" i="1"/>
  <c r="W11" i="1"/>
  <c r="V11" i="1"/>
  <c r="T11" i="1"/>
  <c r="O11" i="1"/>
  <c r="J11" i="1"/>
  <c r="I11" i="1"/>
  <c r="H11" i="1"/>
  <c r="B11" i="1"/>
  <c r="AB10" i="1"/>
  <c r="AA10" i="1"/>
  <c r="Z10" i="1"/>
  <c r="W10" i="1"/>
  <c r="V10" i="1"/>
  <c r="T10" i="1"/>
  <c r="O10" i="1"/>
  <c r="J10" i="1"/>
  <c r="I10" i="1"/>
  <c r="H10" i="1"/>
  <c r="B10" i="1"/>
  <c r="AB9" i="1"/>
  <c r="AA9" i="1"/>
  <c r="Z9" i="1"/>
  <c r="W9" i="1"/>
  <c r="V9" i="1"/>
  <c r="T9" i="1"/>
  <c r="O9" i="1"/>
  <c r="J9" i="1"/>
  <c r="I9" i="1"/>
  <c r="H9" i="1"/>
  <c r="B9" i="1"/>
  <c r="AB8" i="1"/>
  <c r="AA8" i="1"/>
  <c r="Z8" i="1"/>
  <c r="W8" i="1"/>
  <c r="V8" i="1"/>
  <c r="T8" i="1"/>
  <c r="O8" i="1"/>
  <c r="J8" i="1"/>
  <c r="I8" i="1"/>
  <c r="H8" i="1"/>
  <c r="B8" i="1"/>
  <c r="AB7" i="1"/>
  <c r="AA7" i="1"/>
  <c r="Z7" i="1"/>
  <c r="W7" i="1"/>
  <c r="V7" i="1"/>
  <c r="T7" i="1"/>
  <c r="O7" i="1"/>
  <c r="J7" i="1"/>
  <c r="I7" i="1"/>
  <c r="H7" i="1"/>
  <c r="B7" i="1"/>
  <c r="AB6" i="1"/>
  <c r="AA6" i="1"/>
  <c r="Z6" i="1"/>
  <c r="W6" i="1"/>
  <c r="V6" i="1"/>
  <c r="T6" i="1"/>
  <c r="O6" i="1"/>
  <c r="J6" i="1"/>
  <c r="I6" i="1"/>
  <c r="H6" i="1"/>
  <c r="B6" i="1"/>
  <c r="AB5" i="1"/>
  <c r="AA5" i="1"/>
  <c r="Z5" i="1"/>
  <c r="W5" i="1"/>
  <c r="V5" i="1"/>
  <c r="T5" i="1"/>
  <c r="O5" i="1"/>
  <c r="J5" i="1"/>
  <c r="I5" i="1"/>
  <c r="H5" i="1"/>
  <c r="B5" i="1"/>
  <c r="AB4" i="1"/>
  <c r="AA4" i="1"/>
  <c r="Z4" i="1"/>
  <c r="W4" i="1"/>
  <c r="V4" i="1"/>
  <c r="T4" i="1"/>
  <c r="O4" i="1"/>
  <c r="J4" i="1"/>
  <c r="I4" i="1"/>
  <c r="H4" i="1"/>
  <c r="B4" i="1"/>
  <c r="AB3" i="1"/>
  <c r="AA3" i="1"/>
  <c r="Z3" i="1"/>
  <c r="W3" i="1"/>
  <c r="V3" i="1"/>
  <c r="T3" i="1"/>
  <c r="O3" i="1"/>
  <c r="J3" i="1"/>
  <c r="I3" i="1"/>
  <c r="H3" i="1"/>
  <c r="B3" i="1"/>
  <c r="AB2" i="1"/>
  <c r="AA2" i="1"/>
  <c r="W2" i="1"/>
  <c r="V2" i="1"/>
  <c r="T2" i="1"/>
  <c r="O2" i="1"/>
  <c r="H2" i="1"/>
  <c r="B2" i="1"/>
  <c r="Z2" i="1" l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<sst xmlns="http://schemas.openxmlformats.org/spreadsheetml/2006/main" count="1076" uniqueCount="426">
  <si>
    <t>STT</t>
  </si>
  <si>
    <t>Ngày xuất</t>
  </si>
  <si>
    <t>Số SO</t>
  </si>
  <si>
    <t>Số DO</t>
  </si>
  <si>
    <t xml:space="preserve">Mã siêu thị </t>
  </si>
  <si>
    <t>Tên siêu thị</t>
  </si>
  <si>
    <t>Qty</t>
  </si>
  <si>
    <t>Tổng PCS/Mã chuyến</t>
  </si>
  <si>
    <t>Weight (kg)</t>
  </si>
  <si>
    <t>Volume up (m3)</t>
  </si>
  <si>
    <t>Tỉnh</t>
  </si>
  <si>
    <t>Quận</t>
  </si>
  <si>
    <t>Mã giờ</t>
  </si>
  <si>
    <t>Giờ nhận hàng</t>
  </si>
  <si>
    <t>Số điểm giao</t>
  </si>
  <si>
    <t>Tổng số kiện xe</t>
  </si>
  <si>
    <t>Trọng tải</t>
  </si>
  <si>
    <t>Ghi chú</t>
  </si>
  <si>
    <t>Chẵn</t>
  </si>
  <si>
    <t>Gợi ý lot sau</t>
  </si>
  <si>
    <t>Ghi chú 2</t>
  </si>
  <si>
    <t>Đơn vị vận tải</t>
  </si>
  <si>
    <t>Count</t>
  </si>
  <si>
    <t>Weight</t>
  </si>
  <si>
    <t>Volume</t>
  </si>
  <si>
    <t>PCS/DROP/Tỉnh</t>
  </si>
  <si>
    <t>KG/Lot</t>
  </si>
  <si>
    <t>CBM/Lot</t>
  </si>
  <si>
    <t/>
  </si>
  <si>
    <t>1393</t>
  </si>
  <si>
    <t>1392</t>
  </si>
  <si>
    <t>1391</t>
  </si>
  <si>
    <t>SOWINSAL1279180</t>
  </si>
  <si>
    <t>7078702812</t>
  </si>
  <si>
    <t>2ANC</t>
  </si>
  <si>
    <t>WM+ PTO Khu 21, Vạn Xuân</t>
  </si>
  <si>
    <t>T. Phú Thọ</t>
  </si>
  <si>
    <t>H. Tam Nông</t>
  </si>
  <si>
    <t>SOWINSAL1285102</t>
  </si>
  <si>
    <t>7078772463</t>
  </si>
  <si>
    <t>SOWINSAL1279265</t>
  </si>
  <si>
    <t>7078701829</t>
  </si>
  <si>
    <t>5891</t>
  </si>
  <si>
    <t>WM+ PTO Khu 23 Vạn Xuân</t>
  </si>
  <si>
    <t>SOWINSAL1285197</t>
  </si>
  <si>
    <t>7078771545</t>
  </si>
  <si>
    <t>SOWINSAL1279304</t>
  </si>
  <si>
    <t>7078702025</t>
  </si>
  <si>
    <t>6871</t>
  </si>
  <si>
    <t>WM+ PTO 58 Hồ Thiên Hương</t>
  </si>
  <si>
    <t>SOWINSAL1285245</t>
  </si>
  <si>
    <t>7078773126</t>
  </si>
  <si>
    <t>SOWINSAL1279167</t>
  </si>
  <si>
    <t>7078704241</t>
  </si>
  <si>
    <t>2AFF</t>
  </si>
  <si>
    <t>WM+ PTO Khu 5, Xuân Lộc</t>
  </si>
  <si>
    <t>H. Thanh Thủy</t>
  </si>
  <si>
    <t>SOWINSAL1285088</t>
  </si>
  <si>
    <t>7078772867</t>
  </si>
  <si>
    <t>SOWINSAL1279169</t>
  </si>
  <si>
    <t>7078703896</t>
  </si>
  <si>
    <t>2AIU</t>
  </si>
  <si>
    <t>WM+ PTO Khu 14, Đào Xá</t>
  </si>
  <si>
    <t>SOWINSAL1285090</t>
  </si>
  <si>
    <t>7078772407</t>
  </si>
  <si>
    <t>SOWINSAL1279182</t>
  </si>
  <si>
    <t>7078700173</t>
  </si>
  <si>
    <t>2APX</t>
  </si>
  <si>
    <t>WM+ PTO Khu Phố, TT Thanh Thủy</t>
  </si>
  <si>
    <t>SOWINSAL1285104</t>
  </si>
  <si>
    <t>7078772868</t>
  </si>
  <si>
    <t>SOWINSAL1279176</t>
  </si>
  <si>
    <t>7078704510</t>
  </si>
  <si>
    <t>2ALI</t>
  </si>
  <si>
    <t>WM+ PTO Khu 1, Bảo Yên</t>
  </si>
  <si>
    <t>SOWINSAL1285098</t>
  </si>
  <si>
    <t>7078767514</t>
  </si>
  <si>
    <t>SOWINSAL1279204</t>
  </si>
  <si>
    <t>7078704259</t>
  </si>
  <si>
    <t>2BO6</t>
  </si>
  <si>
    <t>WM+ PTO Khu 11, Tu Vũ</t>
  </si>
  <si>
    <t>SOWINSAL1285132</t>
  </si>
  <si>
    <t>7078772586</t>
  </si>
  <si>
    <t>SOWINSAL1279219</t>
  </si>
  <si>
    <t>7078703017</t>
  </si>
  <si>
    <t>2BWV</t>
  </si>
  <si>
    <t>WM+ PTO Khu 2, Tu Vũ</t>
  </si>
  <si>
    <t>SOWINSAL1285250</t>
  </si>
  <si>
    <t>7078773600</t>
  </si>
  <si>
    <t>SOWINSAL1279174</t>
  </si>
  <si>
    <t>7078703451</t>
  </si>
  <si>
    <t>2AKU</t>
  </si>
  <si>
    <t>WM+ PTO Khu 4, Đoan Hạ</t>
  </si>
  <si>
    <t>SOWINSAL1285096</t>
  </si>
  <si>
    <t>7078773040</t>
  </si>
  <si>
    <t>SOWINSAL1279284</t>
  </si>
  <si>
    <t>7078703876</t>
  </si>
  <si>
    <t>6178</t>
  </si>
  <si>
    <t>WM+ PTO Khu 22 Hoàng Xá</t>
  </si>
  <si>
    <t>SOWINSAL1285209</t>
  </si>
  <si>
    <t>7078773112</t>
  </si>
  <si>
    <t>SOWINSAL1279330</t>
  </si>
  <si>
    <t>7078704654</t>
  </si>
  <si>
    <t>2BY6</t>
  </si>
  <si>
    <t>WM+ PTO Khu 3, Thanh Thủy</t>
  </si>
  <si>
    <t>SOWINSAL1285151</t>
  </si>
  <si>
    <t>7078773582</t>
  </si>
  <si>
    <t>SOWINSAL1279212</t>
  </si>
  <si>
    <t>7078702428</t>
  </si>
  <si>
    <t>2BU7</t>
  </si>
  <si>
    <t>WM+ PTO Quyết Tiến, Cự Đồng</t>
  </si>
  <si>
    <t>SOWINSAL1285142</t>
  </si>
  <si>
    <t>7078773183</t>
  </si>
  <si>
    <t>SOWINSAL1279175</t>
  </si>
  <si>
    <t>7078703125</t>
  </si>
  <si>
    <t>2ALC</t>
  </si>
  <si>
    <t>WM+ PTO Tân Hương, Hương Cần</t>
  </si>
  <si>
    <t>SOWINSAL1285097</t>
  </si>
  <si>
    <t>7078773534</t>
  </si>
  <si>
    <t>SOWINSAL1279193</t>
  </si>
  <si>
    <t>7078703897</t>
  </si>
  <si>
    <t>2BDE</t>
  </si>
  <si>
    <t>WM+ PTO Đề Ngữ, Yên Sơn</t>
  </si>
  <si>
    <t>H. Thanh Sơn</t>
  </si>
  <si>
    <t>SOWINSAL1285117</t>
  </si>
  <si>
    <t>7078773550</t>
  </si>
  <si>
    <t>SOWINSAL1279184</t>
  </si>
  <si>
    <t>7078699372</t>
  </si>
  <si>
    <t>2ASC</t>
  </si>
  <si>
    <t>WM+ PTO Xóm Dẹ 1, Văn Miếu</t>
  </si>
  <si>
    <t>SOWINSAL1285106</t>
  </si>
  <si>
    <t>7078769437</t>
  </si>
  <si>
    <t>SOWINSAL1279197</t>
  </si>
  <si>
    <t>7078702739</t>
  </si>
  <si>
    <t>2BHV</t>
  </si>
  <si>
    <t>WM+ PTO Đống Cả, Xuân Đài</t>
  </si>
  <si>
    <t>SOWINSAL1285124</t>
  </si>
  <si>
    <t>7078772408</t>
  </si>
  <si>
    <t>SOWINSAL1279178</t>
  </si>
  <si>
    <t>7078703875</t>
  </si>
  <si>
    <t>2AMP</t>
  </si>
  <si>
    <t>WM+ PTO 28 Phố Vàng</t>
  </si>
  <si>
    <t>SOWINSAL1285100</t>
  </si>
  <si>
    <t>7078773239</t>
  </si>
  <si>
    <t>SOWINSAL1279287</t>
  </si>
  <si>
    <t>7078703900</t>
  </si>
  <si>
    <t>6240</t>
  </si>
  <si>
    <t>WM+ PTO Hùng Nhĩ, Thanh Sơn</t>
  </si>
  <si>
    <t>SOWINSAL1285213</t>
  </si>
  <si>
    <t>7078772941</t>
  </si>
  <si>
    <t>SOWINSAL1279282</t>
  </si>
  <si>
    <t>7078704606</t>
  </si>
  <si>
    <t>6090</t>
  </si>
  <si>
    <t>WM+ PTO 191B Ba Mỏ</t>
  </si>
  <si>
    <t>SOWINSAL1285204</t>
  </si>
  <si>
    <t>7078771725</t>
  </si>
  <si>
    <t>SOWINSAL1279327</t>
  </si>
  <si>
    <t>7078704607</t>
  </si>
  <si>
    <t>2BW1</t>
  </si>
  <si>
    <t>WM+ PTO Khu 13, Minh Hòa</t>
  </si>
  <si>
    <t>H. Yên Lập</t>
  </si>
  <si>
    <t>SOWINSAL1272615</t>
  </si>
  <si>
    <t>7078669119</t>
  </si>
  <si>
    <t>SOWINSAL1282036</t>
  </si>
  <si>
    <t>7078731229</t>
  </si>
  <si>
    <t>SOWINSAL1285145</t>
  </si>
  <si>
    <t>7078772983</t>
  </si>
  <si>
    <t>SOWINSAL1272580</t>
  </si>
  <si>
    <t>7078669328</t>
  </si>
  <si>
    <t>2B73</t>
  </si>
  <si>
    <t>WM+ PTO Đồng Ve, Sơn Lương</t>
  </si>
  <si>
    <t>SOWINSAL1279187</t>
  </si>
  <si>
    <t>7078703543</t>
  </si>
  <si>
    <t>SOWINSAL1285110</t>
  </si>
  <si>
    <t>7078764954</t>
  </si>
  <si>
    <t>SOWINSAL1279183</t>
  </si>
  <si>
    <t>7078704447</t>
  </si>
  <si>
    <t>2AQB</t>
  </si>
  <si>
    <t>WM+ PTO Khu Trung Tâm, Lương Sơn</t>
  </si>
  <si>
    <t>SOWINSAL1285105</t>
  </si>
  <si>
    <t>7078773124</t>
  </si>
  <si>
    <t>SOWINSAL1279148</t>
  </si>
  <si>
    <t>7078703124</t>
  </si>
  <si>
    <t>6364</t>
  </si>
  <si>
    <t>WM+ PTO Tân An 4, Yên Lập</t>
  </si>
  <si>
    <t>SOWINSAL1285228</t>
  </si>
  <si>
    <t>7078773186</t>
  </si>
  <si>
    <t>SOWINSAL1279191</t>
  </si>
  <si>
    <t>7078698444</t>
  </si>
  <si>
    <t>2BBN</t>
  </si>
  <si>
    <t>WM+ PTO Giáp Xuân, Phú Khê</t>
  </si>
  <si>
    <t>H. Cẩm Khê</t>
  </si>
  <si>
    <t>SOWINSAL1285115</t>
  </si>
  <si>
    <t>7078773313</t>
  </si>
  <si>
    <t>SOWINSAL1279363</t>
  </si>
  <si>
    <t>7078704483</t>
  </si>
  <si>
    <t>2CGH</t>
  </si>
  <si>
    <t>WM+ PTO Khu Suông 2, Phú Khê</t>
  </si>
  <si>
    <t>SOWINSAL1284691</t>
  </si>
  <si>
    <t>7078750878</t>
  </si>
  <si>
    <t>SOWINSAL1285306</t>
  </si>
  <si>
    <t>7078760074</t>
  </si>
  <si>
    <t>SOWINSAL1279326</t>
  </si>
  <si>
    <t>7078701437</t>
  </si>
  <si>
    <t>2BTL</t>
  </si>
  <si>
    <t>WM+ PTO Khu Tiền Phong</t>
  </si>
  <si>
    <t>SOWINSAL1285141</t>
  </si>
  <si>
    <t>7078773242</t>
  </si>
  <si>
    <t>SOWINSAL1279323</t>
  </si>
  <si>
    <t>7078703664</t>
  </si>
  <si>
    <t>2BDO</t>
  </si>
  <si>
    <t>WM+ PTO Khu An Ninh, Hùng Việt</t>
  </si>
  <si>
    <t>SOWINSAL1285119</t>
  </si>
  <si>
    <t>7078771724</t>
  </si>
  <si>
    <t>SOWINSAL1279194</t>
  </si>
  <si>
    <t>7078703126</t>
  </si>
  <si>
    <t>2BDF</t>
  </si>
  <si>
    <t>WM+ PTO Trung Tiến 2, Hùng Việt</t>
  </si>
  <si>
    <t>SOWINSAL1285118</t>
  </si>
  <si>
    <t>7078772393</t>
  </si>
  <si>
    <t>SOWINSAL1279211</t>
  </si>
  <si>
    <t>7078702823</t>
  </si>
  <si>
    <t>2BSF</t>
  </si>
  <si>
    <t>WM+ PTO 234 Đông Phú</t>
  </si>
  <si>
    <t>SOWINSAL1285140</t>
  </si>
  <si>
    <t>7078773315</t>
  </si>
  <si>
    <t>SOWINSAL1279195</t>
  </si>
  <si>
    <t>7078704511</t>
  </si>
  <si>
    <t>2BF1</t>
  </si>
  <si>
    <t>WM+ PTO Bắc Tiến 2, Hùng Việt</t>
  </si>
  <si>
    <t>SOWINSAL1285121</t>
  </si>
  <si>
    <t>7078764955</t>
  </si>
  <si>
    <t>SOWINSAL1279216</t>
  </si>
  <si>
    <t>7078701432</t>
  </si>
  <si>
    <t>2BVZ</t>
  </si>
  <si>
    <t>WM+ PTO Khu Cống 2, Cẩm Khê</t>
  </si>
  <si>
    <t>SOWINSAL1285266</t>
  </si>
  <si>
    <t>7078773710</t>
  </si>
  <si>
    <t>SOWINSAL1272475</t>
  </si>
  <si>
    <t>7078669182</t>
  </si>
  <si>
    <t>6291</t>
  </si>
  <si>
    <t>WM+ PTO Hoa Khê, Cẩm Khê</t>
  </si>
  <si>
    <t>SOWINSAL1279145</t>
  </si>
  <si>
    <t>7078699161</t>
  </si>
  <si>
    <t>SOWINSAL1282070</t>
  </si>
  <si>
    <t>7078730945</t>
  </si>
  <si>
    <t>SOWINSAL1285219</t>
  </si>
  <si>
    <t>7078773585</t>
  </si>
  <si>
    <t>SOWINSAL1279301</t>
  </si>
  <si>
    <t>7078704141</t>
  </si>
  <si>
    <t>6680</t>
  </si>
  <si>
    <t>WM+ PTO Minh Tân, Cẩm Khê</t>
  </si>
  <si>
    <t>SOWINSAL1272484</t>
  </si>
  <si>
    <t>7078668148</t>
  </si>
  <si>
    <t>SOWINSAL1282086</t>
  </si>
  <si>
    <t>7078731908</t>
  </si>
  <si>
    <t>SOWINSAL1285240</t>
  </si>
  <si>
    <t>7078773460</t>
  </si>
  <si>
    <t>SOWINSAL1279198</t>
  </si>
  <si>
    <t>7078704526</t>
  </si>
  <si>
    <t>2BIB</t>
  </si>
  <si>
    <t>WM+ PTO Nương Sơn, Vân Bán</t>
  </si>
  <si>
    <t>SOWINSAL1285125</t>
  </si>
  <si>
    <t>7078772464</t>
  </si>
  <si>
    <t>SOWINSAL1279325</t>
  </si>
  <si>
    <t>7078700573</t>
  </si>
  <si>
    <t>2BGF</t>
  </si>
  <si>
    <t>WM+ PTO Khu 10, Xuân Lũng</t>
  </si>
  <si>
    <t>H. Lâm Thao</t>
  </si>
  <si>
    <t>SOWINSAL1285122</t>
  </si>
  <si>
    <t>7078767515</t>
  </si>
  <si>
    <t>SOWINSAL1279192</t>
  </si>
  <si>
    <t>7078701876</t>
  </si>
  <si>
    <t>2BBO</t>
  </si>
  <si>
    <t>WM+ PTO Khu 2, Xuân Lũng</t>
  </si>
  <si>
    <t>SOWINSAL1285116</t>
  </si>
  <si>
    <t>7078773240</t>
  </si>
  <si>
    <t>SOWINSAL1279299</t>
  </si>
  <si>
    <t>7078704355</t>
  </si>
  <si>
    <t>6540</t>
  </si>
  <si>
    <t>WM+ PTO Khu 12, TT Lâm Thao</t>
  </si>
  <si>
    <t>SOWINSAL1285235</t>
  </si>
  <si>
    <t>7078770231</t>
  </si>
  <si>
    <t>SOWINSAL1279266</t>
  </si>
  <si>
    <t>7078702905</t>
  </si>
  <si>
    <t>5905</t>
  </si>
  <si>
    <t>WM+ PTO 26 Âu Cơ</t>
  </si>
  <si>
    <t>SOWINSAL1285198</t>
  </si>
  <si>
    <t>7078773491</t>
  </si>
  <si>
    <t>SOWINSAL1279329</t>
  </si>
  <si>
    <t>7078702981</t>
  </si>
  <si>
    <t>2BX9</t>
  </si>
  <si>
    <t>WM+ PTO Khu 15, Dục Mỹ</t>
  </si>
  <si>
    <t>SOWINSAL1285150</t>
  </si>
  <si>
    <t>7078773316</t>
  </si>
  <si>
    <t>SOWINSAL1279294</t>
  </si>
  <si>
    <t>7078703826</t>
  </si>
  <si>
    <t>6338</t>
  </si>
  <si>
    <t>WM+ PTO Cao Xá, Lâm Thao</t>
  </si>
  <si>
    <t>SOWINSAL1285227</t>
  </si>
  <si>
    <t>7078771753</t>
  </si>
  <si>
    <t>SOWINSAL1279217</t>
  </si>
  <si>
    <t>7078703410</t>
  </si>
  <si>
    <t>2BW8</t>
  </si>
  <si>
    <t>WM+ PTO Khu 1, Bản Nguyên</t>
  </si>
  <si>
    <t>SOWINSAL1285147</t>
  </si>
  <si>
    <t>7078764957</t>
  </si>
  <si>
    <t>SOWINSAL1279172</t>
  </si>
  <si>
    <t>7078703823</t>
  </si>
  <si>
    <t>2AKG</t>
  </si>
  <si>
    <t>WM+ PTO Khu 5, Tứ Xã</t>
  </si>
  <si>
    <t>SOWINSAL1285094</t>
  </si>
  <si>
    <t>7078773487</t>
  </si>
  <si>
    <t>SOWINSAL1279150</t>
  </si>
  <si>
    <t>7078703994</t>
  </si>
  <si>
    <t>6562</t>
  </si>
  <si>
    <t>WM+ PTO 235-235B TT Hùng Sơn</t>
  </si>
  <si>
    <t>SOWINSAL1285236</t>
  </si>
  <si>
    <t>7078771124</t>
  </si>
  <si>
    <t>TP. Việt Trì</t>
  </si>
  <si>
    <t>SOWINSAL1279279</t>
  </si>
  <si>
    <t>7078704140</t>
  </si>
  <si>
    <t>6529</t>
  </si>
  <si>
    <t>WM+ PTO 545 Trần Phú</t>
  </si>
  <si>
    <t>SOWINSAL1285300</t>
  </si>
  <si>
    <t>7078773329</t>
  </si>
  <si>
    <t>SOWINSAL1279278</t>
  </si>
  <si>
    <t>7078704591</t>
  </si>
  <si>
    <t>6513</t>
  </si>
  <si>
    <t>WM+ PTO 12 Tổ 5 Trần Phú</t>
  </si>
  <si>
    <t>SOWINSAL1285299</t>
  </si>
  <si>
    <t>7078772759</t>
  </si>
  <si>
    <t>SOWINSAL1279273</t>
  </si>
  <si>
    <t>7078701435</t>
  </si>
  <si>
    <t>3643</t>
  </si>
  <si>
    <t>WM+ PTO Khu Tân An, Tân Dân</t>
  </si>
  <si>
    <t>SOWINSAL1285315</t>
  </si>
  <si>
    <t>7078768440</t>
  </si>
  <si>
    <t>SOWINSAL1279270</t>
  </si>
  <si>
    <t>7078704138</t>
  </si>
  <si>
    <t>2BFK</t>
  </si>
  <si>
    <t>WM+ PTO 192-194 Trần Phú, Việt Trì</t>
  </si>
  <si>
    <t>SOWINSAL1285264</t>
  </si>
  <si>
    <t>7078771244</t>
  </si>
  <si>
    <t>SOWINSAL1279275</t>
  </si>
  <si>
    <t>7078704139</t>
  </si>
  <si>
    <t>3993</t>
  </si>
  <si>
    <t>WM+ PTO 66 Hàn Thuyên</t>
  </si>
  <si>
    <t>SOWINSAL1285288</t>
  </si>
  <si>
    <t>7078766297</t>
  </si>
  <si>
    <t>SOWINSAL1279312</t>
  </si>
  <si>
    <t>7078703827</t>
  </si>
  <si>
    <t>2AB9</t>
  </si>
  <si>
    <t>WM+ PTO 35 Hà Chương</t>
  </si>
  <si>
    <t>SOWINSAL1285259</t>
  </si>
  <si>
    <t>7078773601</t>
  </si>
  <si>
    <t>SOWINSAL1279318</t>
  </si>
  <si>
    <t>7078702759</t>
  </si>
  <si>
    <t>6045</t>
  </si>
  <si>
    <t>WM+ PTO 476 Châu Phong</t>
  </si>
  <si>
    <t>SOWINSAL1285292</t>
  </si>
  <si>
    <t>7078765349</t>
  </si>
  <si>
    <t>SOWINSAL1279311</t>
  </si>
  <si>
    <t>7078703052</t>
  </si>
  <si>
    <t>6460</t>
  </si>
  <si>
    <t>WM+ PTO Đồng Gia, Việt Trì</t>
  </si>
  <si>
    <t>SOWINSAL1285298</t>
  </si>
  <si>
    <t>7078773556</t>
  </si>
  <si>
    <t>SOWINSAL1279316</t>
  </si>
  <si>
    <t>7078704273</t>
  </si>
  <si>
    <t>3435</t>
  </si>
  <si>
    <t>WM+ PTO 130 Lê Quý Đôn</t>
  </si>
  <si>
    <t>SOWINSAL1285279</t>
  </si>
  <si>
    <t>7078773328</t>
  </si>
  <si>
    <t>SOWINSAL1284884</t>
  </si>
  <si>
    <t>7078747863</t>
  </si>
  <si>
    <t>1564</t>
  </si>
  <si>
    <t>WM VCP PTO Việt Trì</t>
  </si>
  <si>
    <t>SOWINSAL1279308</t>
  </si>
  <si>
    <t>7078704449</t>
  </si>
  <si>
    <t>2AJJ</t>
  </si>
  <si>
    <t>WM+ PTO 439 Tiên Dung</t>
  </si>
  <si>
    <t>SOWINSAL1285260</t>
  </si>
  <si>
    <t>7078773540</t>
  </si>
  <si>
    <t>SOWINSAL1279309</t>
  </si>
  <si>
    <t>7078700807</t>
  </si>
  <si>
    <t>3685</t>
  </si>
  <si>
    <t xml:space="preserve">WM+ PTO 1343 Hùng Vương </t>
  </si>
  <si>
    <t>SOWINSAL1285287</t>
  </si>
  <si>
    <t>7078773063</t>
  </si>
  <si>
    <t>SOWINSAL1279315</t>
  </si>
  <si>
    <t>7078703748</t>
  </si>
  <si>
    <t>3407</t>
  </si>
  <si>
    <t>WM+ PTO 1250 Hùng Vương</t>
  </si>
  <si>
    <t>SOWINSAL1285278</t>
  </si>
  <si>
    <t>7078773726</t>
  </si>
  <si>
    <t>SOWINSAL1279313</t>
  </si>
  <si>
    <t>7078704179</t>
  </si>
  <si>
    <t>2CFX</t>
  </si>
  <si>
    <t>WM+ PTO 965 Hùng Vương</t>
  </si>
  <si>
    <t>SOWINSAL1285275</t>
  </si>
  <si>
    <t>7078773617</t>
  </si>
  <si>
    <t>SOWINSAL1279276</t>
  </si>
  <si>
    <t>7078702299</t>
  </si>
  <si>
    <t>4093</t>
  </si>
  <si>
    <t>WM+ PTO Tổ 26A Hai Bà Trưng</t>
  </si>
  <si>
    <t>SOWINSAL1285314</t>
  </si>
  <si>
    <t>7078773758</t>
  </si>
  <si>
    <t>SOWINSAL1279271</t>
  </si>
  <si>
    <t>7078704495</t>
  </si>
  <si>
    <t>3464</t>
  </si>
  <si>
    <t>WM+ PTO Thành Công, Việt Trì</t>
  </si>
  <si>
    <t>SOWINSAL1285280</t>
  </si>
  <si>
    <t>7078773128</t>
  </si>
  <si>
    <t>SOWINSAL1279277</t>
  </si>
  <si>
    <t>7078703954</t>
  </si>
  <si>
    <t>6434</t>
  </si>
  <si>
    <t>WM+ PTO 107 Bạch Hạc</t>
  </si>
  <si>
    <t>SOWINSAL1285297</t>
  </si>
  <si>
    <t>7078773603</t>
  </si>
  <si>
    <t>SOWINSAL1279269</t>
  </si>
  <si>
    <t>7078704032</t>
  </si>
  <si>
    <t>2AU9</t>
  </si>
  <si>
    <t>WM+ PTO Băng 1, Nguyễn Tất Thành</t>
  </si>
  <si>
    <t>SOWINSAL1285261</t>
  </si>
  <si>
    <t>7078773127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</si>
</sst>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color theme="0"/>
      <name val="Aptos"/>
      <family val="2"/>
    </font>
    <font>
      <b/>
      <sz val="10"/>
      <color theme="1"/>
      <name val="Aptos"/>
      <family val="2"/>
    </font>
    <font>
      <sz val="9"/>
      <color theme="1"/>
      <name val="Aptos Narrow"/>
      <family val="2"/>
      <scheme val="minor"/>
    </font>
    <font>
      <sz val="10"/>
      <color theme="1"/>
      <name val="Aptos"/>
      <family val="2"/>
    </font>
    <font>
      <sz val="10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vertical="center"/>
    </xf>
    <xf numFmtId="1" fontId="5" fillId="5" borderId="3" xfId="0" quotePrefix="1" applyNumberFormat="1" applyFont="1" applyFill="1" applyBorder="1" applyAlignment="1">
      <alignment vertical="center" wrapText="1"/>
    </xf>
    <xf numFmtId="2" fontId="4" fillId="5" borderId="4" xfId="0" quotePrefix="1" applyNumberFormat="1" applyFont="1" applyFill="1" applyBorder="1" applyAlignment="1">
      <alignment vertical="center"/>
    </xf>
    <xf numFmtId="1" fontId="5" fillId="5" borderId="3" xfId="0" applyNumberFormat="1" applyFont="1" applyFill="1" applyBorder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uongnv3\Desktop\C&#432;&#7901;ng%20SPR\TRUCKINGPLAN\19.06\LO&#803;C%20SI&#202;U%20C&#194;&#769;P%20VIPPRO%20!!.xlsb" TargetMode="External"/><Relationship Id="rId1" Type="http://schemas.openxmlformats.org/officeDocument/2006/relationships/externalLinkPath" Target="LO&#803;C%20SI&#202;U%20C&#194;&#769;P%20VIPPRO%20!!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ọng tải xe"/>
      <sheetName val="CHKK"/>
      <sheetName val="Data Sếp Gửi"/>
      <sheetName val="CH DCPT CẤP HÀNG"/>
      <sheetName val="SEARCH_ENGINE"/>
      <sheetName val="DATA THÔ"/>
      <sheetName val="PIVOT"/>
      <sheetName val="Data kế hoạch "/>
    </sheetNames>
    <sheetDataSet>
      <sheetData sheetId="0"/>
      <sheetData sheetId="1"/>
      <sheetData sheetId="2"/>
      <sheetData sheetId="3">
        <row r="1">
          <cell r="B1" t="str">
            <v>Mã CH</v>
          </cell>
          <cell r="C1" t="str">
            <v>Tên cửa hàng</v>
          </cell>
          <cell r="D1" t="str">
            <v>Tỉnh</v>
          </cell>
          <cell r="E1" t="str">
            <v>Quận</v>
          </cell>
          <cell r="F1" t="str">
            <v>STT</v>
          </cell>
          <cell r="G1" t="str">
            <v>Ngày kiểm kê</v>
          </cell>
          <cell r="H1" t="str">
            <v>Phân loại</v>
          </cell>
          <cell r="I1" t="str">
            <v>NVT</v>
          </cell>
        </row>
        <row r="2">
          <cell r="B2" t="str">
            <v>2BNQ</v>
          </cell>
          <cell r="C2" t="str">
            <v>WM+ PTO Nam Giáp, Sông Lô</v>
          </cell>
          <cell r="D2" t="str">
            <v>T. Vĩnh Phúc</v>
          </cell>
          <cell r="E2" t="str">
            <v>H. Sông Lô</v>
          </cell>
          <cell r="F2">
            <v>1</v>
          </cell>
          <cell r="H2" t="str">
            <v>WM+</v>
          </cell>
          <cell r="I2" t="str">
            <v>SAFEFAST</v>
          </cell>
        </row>
        <row r="3">
          <cell r="B3" t="str">
            <v>2AJX</v>
          </cell>
          <cell r="C3" t="str">
            <v>WM+ VPC Thôn Dùng, Cao Phong</v>
          </cell>
          <cell r="D3" t="str">
            <v>T. Vĩnh Phúc</v>
          </cell>
          <cell r="E3" t="str">
            <v>H. Sông Lô</v>
          </cell>
          <cell r="F3">
            <v>2</v>
          </cell>
          <cell r="H3" t="str">
            <v>WM+</v>
          </cell>
          <cell r="I3" t="str">
            <v>SAFEFAST</v>
          </cell>
        </row>
        <row r="4">
          <cell r="B4" t="str">
            <v>6333</v>
          </cell>
          <cell r="C4" t="str">
            <v>WM+ VPC Vọng Sơn, Lập Thạch</v>
          </cell>
          <cell r="D4" t="str">
            <v>T. Vĩnh Phúc</v>
          </cell>
          <cell r="E4" t="str">
            <v>H. Sông Lô</v>
          </cell>
          <cell r="F4">
            <v>3</v>
          </cell>
          <cell r="H4" t="str">
            <v>WM+</v>
          </cell>
          <cell r="I4" t="str">
            <v>SAFEFAST</v>
          </cell>
        </row>
        <row r="5">
          <cell r="B5" t="str">
            <v>2BES</v>
          </cell>
          <cell r="C5" t="str">
            <v>WM+ PTO Trung Kiên, Sơn Đông</v>
          </cell>
          <cell r="D5" t="str">
            <v>T. Vĩnh Phúc</v>
          </cell>
          <cell r="E5" t="str">
            <v>H. Sông Lô</v>
          </cell>
          <cell r="F5">
            <v>4</v>
          </cell>
          <cell r="H5" t="str">
            <v>WM+</v>
          </cell>
          <cell r="I5" t="str">
            <v>SAFEFAST</v>
          </cell>
        </row>
        <row r="6">
          <cell r="B6" t="str">
            <v>2CDE</v>
          </cell>
          <cell r="C6" t="str">
            <v>WM+ PTO Thôn Đông Thịnh, Sơn Đông</v>
          </cell>
          <cell r="D6" t="str">
            <v>T. Vĩnh Phúc</v>
          </cell>
          <cell r="E6" t="str">
            <v>H. Sông Lô</v>
          </cell>
          <cell r="F6">
            <v>5</v>
          </cell>
          <cell r="H6" t="str">
            <v>WMP</v>
          </cell>
          <cell r="I6" t="str">
            <v>SAFEFAST</v>
          </cell>
        </row>
        <row r="7">
          <cell r="B7" t="str">
            <v>2BME</v>
          </cell>
          <cell r="C7" t="str">
            <v>WM+ PTO Đông Xuân, Tiên Lữ</v>
          </cell>
          <cell r="D7" t="str">
            <v>T. Vĩnh Phúc</v>
          </cell>
          <cell r="E7" t="str">
            <v>H. Sông Lô</v>
          </cell>
          <cell r="F7">
            <v>6</v>
          </cell>
          <cell r="H7" t="str">
            <v>WM+</v>
          </cell>
          <cell r="I7" t="str">
            <v>SAFEFAST</v>
          </cell>
        </row>
        <row r="8">
          <cell r="B8" t="str">
            <v>2AIS</v>
          </cell>
          <cell r="C8" t="str">
            <v>WM+ VPC TDP Then, TT Tam Sơn</v>
          </cell>
          <cell r="D8" t="str">
            <v>T. Vĩnh Phúc</v>
          </cell>
          <cell r="E8" t="str">
            <v>H. Sông Lô</v>
          </cell>
          <cell r="F8">
            <v>7</v>
          </cell>
          <cell r="H8" t="str">
            <v>WM+</v>
          </cell>
          <cell r="I8" t="str">
            <v>SAFEFAST</v>
          </cell>
        </row>
        <row r="9">
          <cell r="B9" t="str">
            <v>2BDA</v>
          </cell>
          <cell r="C9" t="str">
            <v>WM+ PTO Hòa Bình, Hải Lựu 2</v>
          </cell>
          <cell r="D9" t="str">
            <v>T. Vĩnh Phúc</v>
          </cell>
          <cell r="E9" t="str">
            <v>H. Sông Lô</v>
          </cell>
          <cell r="F9">
            <v>8</v>
          </cell>
          <cell r="H9" t="str">
            <v>WM+</v>
          </cell>
          <cell r="I9" t="str">
            <v>SAFEFAST</v>
          </cell>
        </row>
        <row r="10">
          <cell r="B10" t="str">
            <v>2B63</v>
          </cell>
          <cell r="C10" t="str">
            <v>WM+ PTO Hòa Bình, Hải Lựu</v>
          </cell>
          <cell r="D10" t="str">
            <v>T. Vĩnh Phúc</v>
          </cell>
          <cell r="E10" t="str">
            <v>H. Sông Lô</v>
          </cell>
          <cell r="F10">
            <v>9</v>
          </cell>
          <cell r="H10" t="str">
            <v>WM+</v>
          </cell>
          <cell r="I10" t="str">
            <v>SAFEFAST</v>
          </cell>
        </row>
        <row r="11">
          <cell r="B11" t="str">
            <v>2BLH</v>
          </cell>
          <cell r="C11" t="str">
            <v>WM+ PTO Lê Lợi, Hải Lựu</v>
          </cell>
          <cell r="D11" t="str">
            <v>T. Vĩnh Phúc</v>
          </cell>
          <cell r="E11" t="str">
            <v>H. Sông Lô</v>
          </cell>
          <cell r="F11">
            <v>10</v>
          </cell>
          <cell r="H11" t="str">
            <v>WM+</v>
          </cell>
          <cell r="I11" t="str">
            <v>SAFEFAST</v>
          </cell>
        </row>
        <row r="12">
          <cell r="B12" t="str">
            <v>2AM8</v>
          </cell>
          <cell r="C12" t="str">
            <v>WM+ VPC Khu Trung Tâm, Lãng Công</v>
          </cell>
          <cell r="D12" t="str">
            <v>T. Vĩnh Phúc</v>
          </cell>
          <cell r="E12" t="str">
            <v>H. Sông Lô</v>
          </cell>
          <cell r="F12">
            <v>11</v>
          </cell>
          <cell r="H12" t="str">
            <v>WM+</v>
          </cell>
          <cell r="I12" t="str">
            <v>SAFEFAST</v>
          </cell>
        </row>
        <row r="13">
          <cell r="B13" t="str">
            <v>2BC5</v>
          </cell>
          <cell r="C13" t="str">
            <v>WM+ PTO Quế Trạo, Tam Sơn</v>
          </cell>
          <cell r="D13" t="str">
            <v>T. Vĩnh Phúc</v>
          </cell>
          <cell r="E13" t="str">
            <v>H. Sông Lô</v>
          </cell>
          <cell r="F13">
            <v>12</v>
          </cell>
          <cell r="H13" t="str">
            <v>WM+</v>
          </cell>
          <cell r="I13" t="str">
            <v>SAFEFAST</v>
          </cell>
        </row>
        <row r="14">
          <cell r="B14" t="str">
            <v>2BU3</v>
          </cell>
          <cell r="C14" t="str">
            <v>WM+ PTO Hoa Cao, Tam Sơn</v>
          </cell>
          <cell r="D14" t="str">
            <v>T. Vĩnh Phúc</v>
          </cell>
          <cell r="E14" t="str">
            <v>H. Sông Lô</v>
          </cell>
          <cell r="F14">
            <v>13</v>
          </cell>
          <cell r="H14" t="str">
            <v>WM+</v>
          </cell>
          <cell r="I14" t="str">
            <v>SAFEFAST</v>
          </cell>
        </row>
        <row r="15">
          <cell r="B15" t="str">
            <v>6141</v>
          </cell>
          <cell r="C15" t="str">
            <v>WM+ VPC TDP Tân Chiền, Lập Thạch</v>
          </cell>
          <cell r="D15" t="str">
            <v>T. Vĩnh Phúc</v>
          </cell>
          <cell r="E15" t="str">
            <v>H. Lập Thạch</v>
          </cell>
          <cell r="F15">
            <v>14</v>
          </cell>
          <cell r="H15" t="str">
            <v>WM+</v>
          </cell>
          <cell r="I15" t="str">
            <v>SAFEFAST</v>
          </cell>
        </row>
        <row r="16">
          <cell r="B16" t="str">
            <v>2BLC</v>
          </cell>
          <cell r="C16" t="str">
            <v>WM+ PTO Bản Hậu, Lập Thạch</v>
          </cell>
          <cell r="D16" t="str">
            <v>T. Vĩnh Phúc</v>
          </cell>
          <cell r="E16" t="str">
            <v>H. Lập Thạch</v>
          </cell>
          <cell r="F16">
            <v>15</v>
          </cell>
          <cell r="H16" t="str">
            <v>WM+</v>
          </cell>
          <cell r="I16" t="str">
            <v>SAFEFAST</v>
          </cell>
        </row>
        <row r="17">
          <cell r="B17" t="str">
            <v>2BHX</v>
          </cell>
          <cell r="C17" t="str">
            <v>WM+ PTO Nghệ Oản Trung, Hợp Lý</v>
          </cell>
          <cell r="D17" t="str">
            <v>T. Vĩnh Phúc</v>
          </cell>
          <cell r="E17" t="str">
            <v>H. Lập Thạch</v>
          </cell>
          <cell r="F17">
            <v>16</v>
          </cell>
          <cell r="H17" t="str">
            <v>WM+</v>
          </cell>
          <cell r="I17" t="str">
            <v>SAFEFAST</v>
          </cell>
        </row>
        <row r="18">
          <cell r="B18" t="str">
            <v>2CET</v>
          </cell>
          <cell r="C18" t="str">
            <v>WM+ PTO Sơn Kịch, Hợp Lý</v>
          </cell>
          <cell r="D18" t="str">
            <v>T. Vĩnh Phúc</v>
          </cell>
          <cell r="E18" t="str">
            <v>H. Lập Thạch</v>
          </cell>
          <cell r="F18">
            <v>17</v>
          </cell>
          <cell r="H18" t="str">
            <v>WMP</v>
          </cell>
          <cell r="I18" t="str">
            <v>SAFEFAST</v>
          </cell>
        </row>
        <row r="19">
          <cell r="B19" t="str">
            <v>5875</v>
          </cell>
          <cell r="C19" t="str">
            <v>WM+ VPC Hoa Lư, Lập Thạch</v>
          </cell>
          <cell r="D19" t="str">
            <v>T. Vĩnh Phúc</v>
          </cell>
          <cell r="E19" t="str">
            <v>H. Lập Thạch</v>
          </cell>
          <cell r="F19">
            <v>18</v>
          </cell>
          <cell r="H19" t="str">
            <v>WM+</v>
          </cell>
          <cell r="I19" t="str">
            <v>SAFEFAST</v>
          </cell>
        </row>
        <row r="20">
          <cell r="B20" t="str">
            <v>2AFQ</v>
          </cell>
          <cell r="C20" t="str">
            <v>WM+ VPC Khu Chợ Đầm, Thái Hòa</v>
          </cell>
          <cell r="D20" t="str">
            <v>T. Vĩnh Phúc</v>
          </cell>
          <cell r="E20" t="str">
            <v>H. Lập Thạch</v>
          </cell>
          <cell r="F20">
            <v>19</v>
          </cell>
          <cell r="H20" t="str">
            <v>WM+</v>
          </cell>
          <cell r="I20" t="str">
            <v>SAFEFAST</v>
          </cell>
        </row>
        <row r="21">
          <cell r="B21" t="str">
            <v>2BEG</v>
          </cell>
          <cell r="C21" t="str">
            <v>WM+ PTO Hữu Phúc, Thái Hòa</v>
          </cell>
          <cell r="D21" t="str">
            <v>T. Vĩnh Phúc</v>
          </cell>
          <cell r="E21" t="str">
            <v>H. Lập Thạch</v>
          </cell>
          <cell r="F21">
            <v>20</v>
          </cell>
          <cell r="H21" t="str">
            <v>WM+</v>
          </cell>
          <cell r="I21" t="str">
            <v>SAFEFAST</v>
          </cell>
        </row>
        <row r="22">
          <cell r="B22" t="str">
            <v>2BAL</v>
          </cell>
          <cell r="C22" t="str">
            <v>WM+ PTO Tân Tiến, Đạo Trù</v>
          </cell>
          <cell r="D22" t="str">
            <v>T. Vĩnh Phúc</v>
          </cell>
          <cell r="E22" t="str">
            <v>H. Tam Đảo</v>
          </cell>
          <cell r="F22">
            <v>21</v>
          </cell>
          <cell r="H22" t="str">
            <v>WM+</v>
          </cell>
          <cell r="I22" t="str">
            <v>SAFEFAST</v>
          </cell>
        </row>
        <row r="23">
          <cell r="B23" t="str">
            <v>2CJI</v>
          </cell>
          <cell r="C23" t="str">
            <v>WM+ PTO Thôn Quan Ngoại, Tam Dương Bắc</v>
          </cell>
          <cell r="D23" t="str">
            <v>T. Vĩnh Phúc</v>
          </cell>
          <cell r="E23" t="str">
            <v>H. Tam Đảo</v>
          </cell>
          <cell r="F23">
            <v>22</v>
          </cell>
          <cell r="I23" t="str">
            <v>SAFEFAST</v>
          </cell>
        </row>
        <row r="24">
          <cell r="B24" t="str">
            <v>2B35</v>
          </cell>
          <cell r="C24" t="str">
            <v>WM+ VPC Trại Mới, TT Đại Đình</v>
          </cell>
          <cell r="D24" t="str">
            <v>T. Vĩnh Phúc</v>
          </cell>
          <cell r="E24" t="str">
            <v>H. Tam Đảo</v>
          </cell>
          <cell r="F24">
            <v>23</v>
          </cell>
          <cell r="H24" t="str">
            <v>WM+</v>
          </cell>
          <cell r="I24" t="str">
            <v>SAFEFAST</v>
          </cell>
        </row>
        <row r="25">
          <cell r="B25" t="str">
            <v>2BAY</v>
          </cell>
          <cell r="C25" t="str">
            <v>WM+ PTO Làng Mạ, Tam Dương Bắc</v>
          </cell>
          <cell r="D25" t="str">
            <v>T. Vĩnh Phúc</v>
          </cell>
          <cell r="E25" t="str">
            <v>H. Tam Đảo</v>
          </cell>
          <cell r="F25">
            <v>24</v>
          </cell>
          <cell r="H25" t="str">
            <v>WM+</v>
          </cell>
          <cell r="I25" t="str">
            <v>SAFEFAST</v>
          </cell>
        </row>
        <row r="26">
          <cell r="B26" t="str">
            <v>2BXW</v>
          </cell>
          <cell r="C26" t="str">
            <v>WM+ PTO Thôn Quang Minh, Tam Đảo</v>
          </cell>
          <cell r="D26" t="str">
            <v>T. Vĩnh Phúc</v>
          </cell>
          <cell r="E26" t="str">
            <v>H. Tam Đảo</v>
          </cell>
          <cell r="F26">
            <v>25</v>
          </cell>
          <cell r="H26" t="str">
            <v>WMP</v>
          </cell>
          <cell r="I26" t="str">
            <v>SAFEFAST</v>
          </cell>
        </row>
        <row r="27">
          <cell r="B27" t="str">
            <v>2AKQ</v>
          </cell>
          <cell r="C27" t="str">
            <v>WM+ VPC Cầu Tre, Hồ Sơn</v>
          </cell>
          <cell r="D27" t="str">
            <v>T. Vĩnh Phúc</v>
          </cell>
          <cell r="E27" t="str">
            <v>H. Tam Đảo</v>
          </cell>
          <cell r="F27">
            <v>26</v>
          </cell>
          <cell r="H27" t="str">
            <v>WM+</v>
          </cell>
          <cell r="I27" t="str">
            <v>SAFEFAST</v>
          </cell>
        </row>
        <row r="28">
          <cell r="B28" t="str">
            <v>5863</v>
          </cell>
          <cell r="C28" t="str">
            <v>WM+ VPC Chợ Hợp Châu, Tam Đảo</v>
          </cell>
          <cell r="D28" t="str">
            <v>T. Vĩnh Phúc</v>
          </cell>
          <cell r="E28" t="str">
            <v>H. Tam Đảo</v>
          </cell>
          <cell r="F28">
            <v>27</v>
          </cell>
          <cell r="H28" t="str">
            <v>WM+</v>
          </cell>
          <cell r="I28" t="str">
            <v>SAFEFAST</v>
          </cell>
        </row>
        <row r="29">
          <cell r="B29" t="str">
            <v>2ANH</v>
          </cell>
          <cell r="C29" t="str">
            <v>WM+ VPC TDP Đồng Bông, Kim Long</v>
          </cell>
          <cell r="D29" t="str">
            <v>T. Vĩnh Phúc</v>
          </cell>
          <cell r="E29" t="str">
            <v>H. Tam Đảo</v>
          </cell>
          <cell r="F29">
            <v>28</v>
          </cell>
          <cell r="H29" t="str">
            <v>WM+</v>
          </cell>
          <cell r="I29" t="str">
            <v>SAFEFAST</v>
          </cell>
        </row>
        <row r="30">
          <cell r="B30" t="str">
            <v>2BS0</v>
          </cell>
          <cell r="C30" t="str">
            <v>WM+ PTO Thôn 7, Tam Dương</v>
          </cell>
          <cell r="D30" t="str">
            <v>T. Vĩnh Phúc</v>
          </cell>
          <cell r="E30" t="str">
            <v>H. Tam Dương</v>
          </cell>
          <cell r="F30">
            <v>29</v>
          </cell>
          <cell r="H30" t="str">
            <v>WM+</v>
          </cell>
          <cell r="I30" t="str">
            <v>SAFEFAST</v>
          </cell>
        </row>
        <row r="31">
          <cell r="B31" t="str">
            <v>6265</v>
          </cell>
          <cell r="C31" t="str">
            <v>WM+ VPC TDP Cổ Độ, Bình Xuyên</v>
          </cell>
          <cell r="D31" t="str">
            <v>T. Vĩnh Phúc</v>
          </cell>
          <cell r="E31" t="str">
            <v>H. Tam Dương</v>
          </cell>
          <cell r="F31">
            <v>30</v>
          </cell>
          <cell r="H31" t="str">
            <v>WM+</v>
          </cell>
          <cell r="I31" t="str">
            <v>SAFEFAST</v>
          </cell>
        </row>
        <row r="32">
          <cell r="B32" t="str">
            <v>2CJH</v>
          </cell>
          <cell r="C32" t="str">
            <v>WM+ PTO Thôn Gia, Hoàng An</v>
          </cell>
          <cell r="D32" t="str">
            <v>T. Vĩnh Phúc</v>
          </cell>
          <cell r="E32" t="str">
            <v>H. Tam Dương</v>
          </cell>
          <cell r="F32">
            <v>31</v>
          </cell>
          <cell r="I32" t="str">
            <v>SAFEFAST</v>
          </cell>
        </row>
        <row r="33">
          <cell r="B33" t="str">
            <v>6146</v>
          </cell>
          <cell r="C33" t="str">
            <v>WM+ VPC Phố Me, Tam Dương</v>
          </cell>
          <cell r="D33" t="str">
            <v>T. Vĩnh Phúc</v>
          </cell>
          <cell r="E33" t="str">
            <v>H. Tam Dương</v>
          </cell>
          <cell r="F33">
            <v>32</v>
          </cell>
          <cell r="H33" t="str">
            <v>WM+</v>
          </cell>
          <cell r="I33" t="str">
            <v>SAFEFAST</v>
          </cell>
        </row>
        <row r="34">
          <cell r="B34" t="str">
            <v>2BR0</v>
          </cell>
          <cell r="C34" t="str">
            <v>WM+ PTO TDP Liên Bình, Tam Dương</v>
          </cell>
          <cell r="D34" t="str">
            <v>T. Vĩnh Phúc</v>
          </cell>
          <cell r="E34" t="str">
            <v>H. Tam Dương</v>
          </cell>
          <cell r="F34">
            <v>33</v>
          </cell>
          <cell r="H34" t="str">
            <v>WM+</v>
          </cell>
          <cell r="I34" t="str">
            <v>SAFEFAST</v>
          </cell>
        </row>
        <row r="35">
          <cell r="B35" t="str">
            <v>6665</v>
          </cell>
          <cell r="C35" t="str">
            <v>WM+ VPC Duy Phiên, Tam Dương</v>
          </cell>
          <cell r="D35" t="str">
            <v>T. Vĩnh Phúc</v>
          </cell>
          <cell r="E35" t="str">
            <v>H. Tam Dương</v>
          </cell>
          <cell r="F35">
            <v>34</v>
          </cell>
          <cell r="H35" t="str">
            <v>WM+</v>
          </cell>
          <cell r="I35" t="str">
            <v>SAFEFAST</v>
          </cell>
        </row>
        <row r="36">
          <cell r="B36" t="str">
            <v>2AKN</v>
          </cell>
          <cell r="C36" t="str">
            <v>WM+ VPC 52 Thanh Vân</v>
          </cell>
          <cell r="D36" t="str">
            <v>T. Vĩnh Phúc</v>
          </cell>
          <cell r="E36" t="str">
            <v>H. Tam Dương</v>
          </cell>
          <cell r="F36">
            <v>35</v>
          </cell>
          <cell r="H36" t="str">
            <v>WM+</v>
          </cell>
          <cell r="I36" t="str">
            <v>SAFEFAST</v>
          </cell>
        </row>
        <row r="37">
          <cell r="B37" t="str">
            <v>6976</v>
          </cell>
          <cell r="C37" t="str">
            <v>WM+ VPC 204 Lý Thường Kiệt</v>
          </cell>
          <cell r="D37" t="str">
            <v>T. Vĩnh Phúc</v>
          </cell>
          <cell r="E37" t="str">
            <v>TP. Vĩnh Yên</v>
          </cell>
          <cell r="F37">
            <v>36</v>
          </cell>
          <cell r="H37" t="str">
            <v>WM+</v>
          </cell>
          <cell r="I37" t="str">
            <v>SAFEFAST</v>
          </cell>
        </row>
        <row r="38">
          <cell r="B38" t="str">
            <v>4524</v>
          </cell>
          <cell r="C38" t="str">
            <v>WM+ VPC 82 Lý Thường Kiệt</v>
          </cell>
          <cell r="D38" t="str">
            <v>T. Vĩnh Phúc</v>
          </cell>
          <cell r="E38" t="str">
            <v>TP. Vĩnh Yên</v>
          </cell>
          <cell r="F38">
            <v>37</v>
          </cell>
          <cell r="H38" t="str">
            <v>WM+</v>
          </cell>
          <cell r="I38" t="str">
            <v>SAFEFAST</v>
          </cell>
        </row>
        <row r="39">
          <cell r="B39" t="str">
            <v>6348</v>
          </cell>
          <cell r="C39" t="str">
            <v>WM+ VPC Thọ Khánh, Tam Dương</v>
          </cell>
          <cell r="D39" t="str">
            <v>T. Vĩnh Phúc</v>
          </cell>
          <cell r="E39" t="str">
            <v>TP. Vĩnh Yên</v>
          </cell>
          <cell r="F39">
            <v>38</v>
          </cell>
          <cell r="H39" t="str">
            <v>WM+</v>
          </cell>
          <cell r="I39" t="str">
            <v>SAFEFAST</v>
          </cell>
        </row>
        <row r="40">
          <cell r="B40" t="str">
            <v>6595</v>
          </cell>
          <cell r="C40" t="str">
            <v>WM+ VPC 81 Quang Trung</v>
          </cell>
          <cell r="D40" t="str">
            <v>T. Vĩnh Phúc</v>
          </cell>
          <cell r="E40" t="str">
            <v>TP. Vĩnh Yên</v>
          </cell>
          <cell r="F40">
            <v>39</v>
          </cell>
          <cell r="H40" t="str">
            <v>WM+</v>
          </cell>
          <cell r="I40" t="str">
            <v>SAFEFAST</v>
          </cell>
        </row>
        <row r="41">
          <cell r="B41" t="str">
            <v>4516</v>
          </cell>
          <cell r="C41" t="str">
            <v>WM+ VPC 141 Hùng Vương-Vĩnh Yên</v>
          </cell>
          <cell r="D41" t="str">
            <v>T. Vĩnh Phúc</v>
          </cell>
          <cell r="E41" t="str">
            <v>TP. Vĩnh Yên</v>
          </cell>
          <cell r="F41">
            <v>40</v>
          </cell>
          <cell r="H41" t="str">
            <v>WM+</v>
          </cell>
          <cell r="I41" t="str">
            <v>SAFEFAST</v>
          </cell>
        </row>
        <row r="42">
          <cell r="B42" t="str">
            <v>6791</v>
          </cell>
          <cell r="C42" t="str">
            <v>WM+ VPC 195 Nguyễn Viết Xuân</v>
          </cell>
          <cell r="D42" t="str">
            <v>T. Vĩnh Phúc</v>
          </cell>
          <cell r="E42" t="str">
            <v>TP. Vĩnh Yên</v>
          </cell>
          <cell r="F42">
            <v>41</v>
          </cell>
          <cell r="H42" t="str">
            <v>WM+</v>
          </cell>
          <cell r="I42" t="str">
            <v>SAFEFAST</v>
          </cell>
        </row>
        <row r="43">
          <cell r="B43" t="str">
            <v>6717</v>
          </cell>
          <cell r="C43" t="str">
            <v>WM+ VPC 117 Đầm Vạc</v>
          </cell>
          <cell r="D43" t="str">
            <v>T. Vĩnh Phúc</v>
          </cell>
          <cell r="E43" t="str">
            <v>TP. Vĩnh Yên</v>
          </cell>
          <cell r="F43">
            <v>42</v>
          </cell>
          <cell r="H43" t="str">
            <v>WM+</v>
          </cell>
          <cell r="I43" t="str">
            <v>SAFEFAST</v>
          </cell>
        </row>
        <row r="44">
          <cell r="B44" t="str">
            <v>6182</v>
          </cell>
          <cell r="C44" t="str">
            <v>WM+ VPC 19 Lê Xoay</v>
          </cell>
          <cell r="D44" t="str">
            <v>T. Vĩnh Phúc</v>
          </cell>
          <cell r="E44" t="str">
            <v>TP. Vĩnh Yên</v>
          </cell>
          <cell r="F44">
            <v>43</v>
          </cell>
          <cell r="H44" t="str">
            <v>WM+</v>
          </cell>
          <cell r="I44" t="str">
            <v>SAFEFAST</v>
          </cell>
        </row>
        <row r="45">
          <cell r="B45" t="str">
            <v>2AT6</v>
          </cell>
          <cell r="C45" t="str">
            <v>WM+ VPC SH4 La Fortuna, Phạm Văn Đồng</v>
          </cell>
          <cell r="D45" t="str">
            <v>T. Vĩnh Phúc</v>
          </cell>
          <cell r="E45" t="str">
            <v>TP. Vĩnh Yên</v>
          </cell>
          <cell r="F45">
            <v>44</v>
          </cell>
          <cell r="H45" t="str">
            <v>WM+</v>
          </cell>
          <cell r="I45" t="str">
            <v>SAFEFAST</v>
          </cell>
        </row>
        <row r="46">
          <cell r="B46" t="str">
            <v>4532</v>
          </cell>
          <cell r="C46" t="str">
            <v>WM+ VPC Vinaconex Nguyễn Tất Thành</v>
          </cell>
          <cell r="D46" t="str">
            <v>T. Vĩnh Phúc</v>
          </cell>
          <cell r="E46" t="str">
            <v>TP. Vĩnh Yên</v>
          </cell>
          <cell r="F46">
            <v>45</v>
          </cell>
          <cell r="H46" t="str">
            <v>WM+</v>
          </cell>
          <cell r="I46" t="str">
            <v>SAFEFAST</v>
          </cell>
        </row>
        <row r="47">
          <cell r="B47" t="str">
            <v>2AL1</v>
          </cell>
          <cell r="C47" t="str">
            <v>WM+ VPC L9-01 Khu đô thị VCI</v>
          </cell>
          <cell r="D47" t="str">
            <v>T. Vĩnh Phúc</v>
          </cell>
          <cell r="E47" t="str">
            <v>TP. Vĩnh Yên</v>
          </cell>
          <cell r="F47">
            <v>46</v>
          </cell>
          <cell r="H47" t="str">
            <v>WM+</v>
          </cell>
          <cell r="I47" t="str">
            <v>SAFEFAST</v>
          </cell>
        </row>
        <row r="48">
          <cell r="B48" t="str">
            <v>4957</v>
          </cell>
          <cell r="C48" t="str">
            <v>WM+ VPC 37 Chùa Hà</v>
          </cell>
          <cell r="D48" t="str">
            <v>T. Vĩnh Phúc</v>
          </cell>
          <cell r="E48" t="str">
            <v>TP. Vĩnh Yên</v>
          </cell>
          <cell r="F48">
            <v>47</v>
          </cell>
          <cell r="H48" t="str">
            <v>WM+</v>
          </cell>
          <cell r="I48" t="str">
            <v>SAFEFAST</v>
          </cell>
        </row>
        <row r="49">
          <cell r="B49" t="str">
            <v>4505</v>
          </cell>
          <cell r="C49" t="str">
            <v>WM+ VPC KHC 15 Nguyễn Tất Thành</v>
          </cell>
          <cell r="D49" t="str">
            <v>T. Vĩnh Phúc</v>
          </cell>
          <cell r="E49" t="str">
            <v>TP. Vĩnh Yên</v>
          </cell>
          <cell r="F49">
            <v>48</v>
          </cell>
          <cell r="H49" t="str">
            <v>WM+</v>
          </cell>
          <cell r="I49" t="str">
            <v>SAFEFAST</v>
          </cell>
        </row>
        <row r="50">
          <cell r="B50" t="str">
            <v>4523</v>
          </cell>
          <cell r="C50" t="str">
            <v>WM+ VPC 38 Bà Triệu</v>
          </cell>
          <cell r="D50" t="str">
            <v>T. Vĩnh Phúc</v>
          </cell>
          <cell r="E50" t="str">
            <v>TP. Vĩnh Yên</v>
          </cell>
          <cell r="F50">
            <v>49</v>
          </cell>
          <cell r="H50" t="str">
            <v>WM+</v>
          </cell>
          <cell r="I50" t="str">
            <v>SAFEFAST</v>
          </cell>
        </row>
        <row r="51">
          <cell r="B51" t="str">
            <v>4480</v>
          </cell>
          <cell r="C51" t="str">
            <v>WM+ VPC 134B Trần Phú</v>
          </cell>
          <cell r="D51" t="str">
            <v>T. Vĩnh Phúc</v>
          </cell>
          <cell r="E51" t="str">
            <v>TP. Vĩnh Yên</v>
          </cell>
          <cell r="F51">
            <v>50</v>
          </cell>
          <cell r="H51" t="str">
            <v>WM+</v>
          </cell>
          <cell r="I51" t="str">
            <v>SAFEFAST</v>
          </cell>
        </row>
        <row r="52">
          <cell r="B52" t="str">
            <v>2AH4</v>
          </cell>
          <cell r="C52" t="str">
            <v>WM+ VPC 5 Ngô Gia Tự</v>
          </cell>
          <cell r="D52" t="str">
            <v>T. Vĩnh Phúc</v>
          </cell>
          <cell r="E52" t="str">
            <v>TP. Vĩnh Yên</v>
          </cell>
          <cell r="F52">
            <v>51</v>
          </cell>
          <cell r="H52" t="str">
            <v>WM+</v>
          </cell>
          <cell r="I52" t="str">
            <v>SAFEFAST</v>
          </cell>
        </row>
        <row r="53">
          <cell r="B53" t="str">
            <v>4498</v>
          </cell>
          <cell r="C53" t="str">
            <v>WM+ VPC 291 Mê Linh</v>
          </cell>
          <cell r="D53" t="str">
            <v>T. Vĩnh Phúc</v>
          </cell>
          <cell r="E53" t="str">
            <v>TP. Vĩnh Yên</v>
          </cell>
          <cell r="F53">
            <v>52</v>
          </cell>
          <cell r="H53" t="str">
            <v>WM+</v>
          </cell>
          <cell r="I53" t="str">
            <v>SAFEFAST</v>
          </cell>
        </row>
        <row r="54">
          <cell r="B54" t="str">
            <v>4497</v>
          </cell>
          <cell r="C54" t="str">
            <v>WM+ VPC 84 Tôn Đức Thắng</v>
          </cell>
          <cell r="D54" t="str">
            <v>T. Vĩnh Phúc</v>
          </cell>
          <cell r="E54" t="str">
            <v>TP. Vĩnh Yên</v>
          </cell>
          <cell r="F54">
            <v>53</v>
          </cell>
          <cell r="H54" t="str">
            <v>WM+</v>
          </cell>
          <cell r="I54" t="str">
            <v>SAFEFAST</v>
          </cell>
        </row>
        <row r="55">
          <cell r="B55" t="str">
            <v>2ACO</v>
          </cell>
          <cell r="C55" t="str">
            <v>WM+ VPC 105-106 Tòa B2 Khai Minh</v>
          </cell>
          <cell r="D55" t="str">
            <v>T. Vĩnh Phúc</v>
          </cell>
          <cell r="E55" t="str">
            <v>TP. Vĩnh Yên</v>
          </cell>
          <cell r="F55">
            <v>54</v>
          </cell>
          <cell r="H55" t="str">
            <v>WM+</v>
          </cell>
          <cell r="I55" t="str">
            <v>SAFEFAST</v>
          </cell>
        </row>
        <row r="56">
          <cell r="B56" t="str">
            <v>2AD4</v>
          </cell>
          <cell r="C56" t="str">
            <v>WM+ VPC CH5 The City Light</v>
          </cell>
          <cell r="D56" t="str">
            <v>T. Vĩnh Phúc</v>
          </cell>
          <cell r="E56" t="str">
            <v>TP. Vĩnh Yên</v>
          </cell>
          <cell r="F56">
            <v>55</v>
          </cell>
          <cell r="H56" t="str">
            <v>WM+</v>
          </cell>
          <cell r="I56" t="str">
            <v>SAFEFAST</v>
          </cell>
        </row>
        <row r="57">
          <cell r="B57" t="str">
            <v>6496</v>
          </cell>
          <cell r="C57" t="str">
            <v>WM+ VPC 45 Nguyễn Tất Thành</v>
          </cell>
          <cell r="D57" t="str">
            <v>T. Vĩnh Phúc</v>
          </cell>
          <cell r="E57" t="str">
            <v>TP. Vĩnh Yên</v>
          </cell>
          <cell r="F57">
            <v>56</v>
          </cell>
          <cell r="H57" t="str">
            <v>WM+</v>
          </cell>
          <cell r="I57" t="str">
            <v>SAFEFAST</v>
          </cell>
        </row>
        <row r="58">
          <cell r="B58" t="str">
            <v>2A02</v>
          </cell>
          <cell r="C58" t="str">
            <v>WM+ VPC TDP Mậu Thông, Vĩnh Yên</v>
          </cell>
          <cell r="D58" t="str">
            <v>T. Vĩnh Phúc</v>
          </cell>
          <cell r="E58" t="str">
            <v>TP. Vĩnh Yên</v>
          </cell>
          <cell r="F58">
            <v>57</v>
          </cell>
          <cell r="H58" t="str">
            <v>WM+</v>
          </cell>
          <cell r="I58" t="str">
            <v>SAFEFAST</v>
          </cell>
        </row>
        <row r="59">
          <cell r="B59" t="str">
            <v>2B81</v>
          </cell>
          <cell r="C59" t="str">
            <v>WM+ VPC Nguyễn Lương Bằng, Vị Trù</v>
          </cell>
          <cell r="D59" t="str">
            <v>T. Vĩnh Phúc</v>
          </cell>
          <cell r="E59" t="str">
            <v>TP. Vĩnh Yên</v>
          </cell>
          <cell r="F59">
            <v>58</v>
          </cell>
          <cell r="H59" t="str">
            <v>WM+</v>
          </cell>
          <cell r="I59" t="str">
            <v>SAFEFAST</v>
          </cell>
        </row>
        <row r="60">
          <cell r="B60" t="str">
            <v>6563</v>
          </cell>
          <cell r="C60" t="str">
            <v>WM+ VPC Khu Phố 2, Hương Canh</v>
          </cell>
          <cell r="D60" t="str">
            <v>T. Vĩnh Phúc</v>
          </cell>
          <cell r="E60" t="str">
            <v>H. Bình Xuyên</v>
          </cell>
          <cell r="F60">
            <v>59</v>
          </cell>
          <cell r="H60" t="str">
            <v>WM+</v>
          </cell>
          <cell r="I60" t="str">
            <v>SAFEFAST</v>
          </cell>
        </row>
        <row r="61">
          <cell r="B61" t="str">
            <v>6078</v>
          </cell>
          <cell r="C61" t="str">
            <v>WM+ VPC Khu Phố 1, Hương Canh</v>
          </cell>
          <cell r="D61" t="str">
            <v>T. Vĩnh Phúc</v>
          </cell>
          <cell r="E61" t="str">
            <v>H. Bình Xuyên</v>
          </cell>
          <cell r="F61">
            <v>60</v>
          </cell>
          <cell r="H61" t="str">
            <v>WM+</v>
          </cell>
          <cell r="I61" t="str">
            <v>SAFEFAST</v>
          </cell>
        </row>
        <row r="62">
          <cell r="B62" t="str">
            <v>2BIW</v>
          </cell>
          <cell r="C62" t="str">
            <v>WM+ PTO Ngoại Trạch 2, Bình Nguyên</v>
          </cell>
          <cell r="D62" t="str">
            <v>T. Vĩnh Phúc</v>
          </cell>
          <cell r="E62" t="str">
            <v>H. Bình Xuyên</v>
          </cell>
          <cell r="F62">
            <v>61</v>
          </cell>
          <cell r="H62" t="str">
            <v>WM+</v>
          </cell>
          <cell r="I62" t="str">
            <v>SAFEFAST</v>
          </cell>
        </row>
        <row r="63">
          <cell r="B63" t="str">
            <v>2B06</v>
          </cell>
          <cell r="C63" t="str">
            <v>WM+ PTO Ngọc Bảo, Bình Nguyên</v>
          </cell>
          <cell r="D63" t="str">
            <v>T. Vĩnh Phúc</v>
          </cell>
          <cell r="E63" t="str">
            <v>H. Bình Xuyên</v>
          </cell>
          <cell r="F63">
            <v>62</v>
          </cell>
          <cell r="H63" t="str">
            <v>WM+</v>
          </cell>
          <cell r="I63" t="str">
            <v>SAFEFAST</v>
          </cell>
        </row>
        <row r="64">
          <cell r="B64" t="str">
            <v>2BVC</v>
          </cell>
          <cell r="C64" t="str">
            <v>WM+ PTO Thôn Thiện Kế, Bình Xuyên</v>
          </cell>
          <cell r="D64" t="str">
            <v>T. Vĩnh Phúc</v>
          </cell>
          <cell r="E64" t="str">
            <v>H. Bình Xuyên</v>
          </cell>
          <cell r="F64">
            <v>63</v>
          </cell>
          <cell r="H64" t="str">
            <v>WM+</v>
          </cell>
          <cell r="I64" t="str">
            <v>SAFEFAST</v>
          </cell>
        </row>
        <row r="65">
          <cell r="B65" t="str">
            <v>2BTK</v>
          </cell>
          <cell r="C65" t="str">
            <v>WM+ PTO TDP Vinh Tiến</v>
          </cell>
          <cell r="D65" t="str">
            <v>T. Vĩnh Phúc</v>
          </cell>
          <cell r="E65" t="str">
            <v>H. Bình Xuyên</v>
          </cell>
          <cell r="F65">
            <v>64</v>
          </cell>
          <cell r="H65" t="str">
            <v>WM+</v>
          </cell>
          <cell r="I65" t="str">
            <v>SAFEFAST</v>
          </cell>
        </row>
        <row r="66">
          <cell r="B66" t="str">
            <v>5684</v>
          </cell>
          <cell r="C66" t="str">
            <v>WM+ VPC TDP Quang Vinh, Bình Xuyên</v>
          </cell>
          <cell r="D66" t="str">
            <v>T. Vĩnh Phúc</v>
          </cell>
          <cell r="E66" t="str">
            <v>H. Bình Xuyên</v>
          </cell>
          <cell r="F66">
            <v>65</v>
          </cell>
          <cell r="H66" t="str">
            <v>WM+</v>
          </cell>
          <cell r="I66" t="str">
            <v>SAFEFAST</v>
          </cell>
        </row>
        <row r="67">
          <cell r="B67" t="str">
            <v>2CIE</v>
          </cell>
          <cell r="C67" t="str">
            <v>WM+ PTO Thôn Nam Bản, Xuân Lãng</v>
          </cell>
          <cell r="D67" t="str">
            <v>T. Vĩnh Phúc</v>
          </cell>
          <cell r="E67" t="str">
            <v>H. Bình Xuyên</v>
          </cell>
          <cell r="F67">
            <v>66</v>
          </cell>
          <cell r="H67" t="str">
            <v>WMP</v>
          </cell>
          <cell r="I67" t="str">
            <v>SAFEFAST</v>
          </cell>
        </row>
        <row r="68">
          <cell r="B68" t="str">
            <v>2B82</v>
          </cell>
          <cell r="C68" t="str">
            <v>WM+ VPC Yên Điềm, Cao Minh</v>
          </cell>
          <cell r="D68" t="str">
            <v>T. Vĩnh Phúc</v>
          </cell>
          <cell r="E68" t="str">
            <v>TP. Phúc Yên</v>
          </cell>
          <cell r="F68">
            <v>67</v>
          </cell>
          <cell r="H68" t="str">
            <v>WM+</v>
          </cell>
          <cell r="I68" t="str">
            <v>SAFEFAST</v>
          </cell>
        </row>
        <row r="69">
          <cell r="B69" t="str">
            <v>4650</v>
          </cell>
          <cell r="C69" t="str">
            <v>WM+ VPC 301 Trường Chinh</v>
          </cell>
          <cell r="D69" t="str">
            <v>T. Vĩnh Phúc</v>
          </cell>
          <cell r="E69" t="str">
            <v>TP. Phúc Yên</v>
          </cell>
          <cell r="F69">
            <v>68</v>
          </cell>
          <cell r="H69" t="str">
            <v>WM+</v>
          </cell>
          <cell r="I69" t="str">
            <v>SAFEFAST</v>
          </cell>
        </row>
        <row r="70">
          <cell r="B70" t="str">
            <v>4491</v>
          </cell>
          <cell r="C70" t="str">
            <v>WM+ VPC 2 Nguyễn Văn Linh</v>
          </cell>
          <cell r="D70" t="str">
            <v>T. Vĩnh Phúc</v>
          </cell>
          <cell r="E70" t="str">
            <v>TP. Phúc Yên</v>
          </cell>
          <cell r="F70">
            <v>69</v>
          </cell>
          <cell r="H70" t="str">
            <v>WM+</v>
          </cell>
          <cell r="I70" t="str">
            <v>SAFEFAST</v>
          </cell>
        </row>
        <row r="71">
          <cell r="B71" t="str">
            <v>5656</v>
          </cell>
          <cell r="C71" t="str">
            <v>WM+ VPC 50 Nguyễn Văn Linh</v>
          </cell>
          <cell r="D71" t="str">
            <v>T. Vĩnh Phúc</v>
          </cell>
          <cell r="E71" t="str">
            <v>TP. Phúc Yên</v>
          </cell>
          <cell r="F71">
            <v>70</v>
          </cell>
          <cell r="H71" t="str">
            <v>WM+</v>
          </cell>
          <cell r="I71" t="str">
            <v>SAFEFAST</v>
          </cell>
        </row>
        <row r="72">
          <cell r="B72" t="str">
            <v>6948</v>
          </cell>
          <cell r="C72" t="str">
            <v>WM+ VPC 205 Trần Phú</v>
          </cell>
          <cell r="D72" t="str">
            <v>T. Vĩnh Phúc</v>
          </cell>
          <cell r="E72" t="str">
            <v>TP. Phúc Yên</v>
          </cell>
          <cell r="F72">
            <v>71</v>
          </cell>
          <cell r="H72" t="str">
            <v>WM+</v>
          </cell>
          <cell r="I72" t="str">
            <v>SAFEFAST</v>
          </cell>
        </row>
        <row r="73">
          <cell r="B73" t="str">
            <v>4482</v>
          </cell>
          <cell r="C73" t="str">
            <v>WM+ VPC 150 Chùa Cấm</v>
          </cell>
          <cell r="D73" t="str">
            <v>T. Vĩnh Phúc</v>
          </cell>
          <cell r="E73" t="str">
            <v>TP. Phúc Yên</v>
          </cell>
          <cell r="F73">
            <v>72</v>
          </cell>
          <cell r="H73" t="str">
            <v>WM+</v>
          </cell>
          <cell r="I73" t="str">
            <v>SAFEFAST</v>
          </cell>
        </row>
        <row r="74">
          <cell r="B74" t="str">
            <v>4809</v>
          </cell>
          <cell r="C74" t="str">
            <v>WM+ VPC 162 Trưng Trắc</v>
          </cell>
          <cell r="D74" t="str">
            <v>T. Vĩnh Phúc</v>
          </cell>
          <cell r="E74" t="str">
            <v>TP. Phúc Yên</v>
          </cell>
          <cell r="F74">
            <v>73</v>
          </cell>
          <cell r="H74" t="str">
            <v>WM+</v>
          </cell>
          <cell r="I74" t="str">
            <v>SAFEFAST</v>
          </cell>
        </row>
        <row r="75">
          <cell r="B75" t="str">
            <v>5836</v>
          </cell>
          <cell r="C75" t="str">
            <v>WM+ VPC Ngõ 14 Ngô Miễn, Phúc Yên</v>
          </cell>
          <cell r="D75" t="str">
            <v>T. Vĩnh Phúc</v>
          </cell>
          <cell r="E75" t="str">
            <v>TP. Phúc Yên</v>
          </cell>
          <cell r="F75">
            <v>74</v>
          </cell>
          <cell r="H75" t="str">
            <v>WM+</v>
          </cell>
          <cell r="I75" t="str">
            <v>SAFEFAST</v>
          </cell>
        </row>
        <row r="76">
          <cell r="B76" t="str">
            <v>2BFA</v>
          </cell>
          <cell r="C76" t="str">
            <v>WM+ PTO Ngô Miễn, Xuân Bến</v>
          </cell>
          <cell r="D76" t="str">
            <v>T. Vĩnh Phúc</v>
          </cell>
          <cell r="E76" t="str">
            <v>TP. Phúc Yên</v>
          </cell>
          <cell r="F76">
            <v>75</v>
          </cell>
          <cell r="H76" t="str">
            <v>WM+</v>
          </cell>
          <cell r="I76" t="str">
            <v>SAFEFAST</v>
          </cell>
        </row>
        <row r="77">
          <cell r="B77" t="str">
            <v>4657</v>
          </cell>
          <cell r="C77" t="str">
            <v>WM+ VPC 9 Hai Bà Trưng</v>
          </cell>
          <cell r="D77" t="str">
            <v>T. Vĩnh Phúc</v>
          </cell>
          <cell r="E77" t="str">
            <v>TP. Phúc Yên</v>
          </cell>
          <cell r="F77">
            <v>76</v>
          </cell>
          <cell r="H77" t="str">
            <v>WM+</v>
          </cell>
          <cell r="I77" t="str">
            <v>SAFEFAST</v>
          </cell>
        </row>
        <row r="78">
          <cell r="B78" t="str">
            <v>4966</v>
          </cell>
          <cell r="C78" t="str">
            <v>WM+ VPC 98 Nguyễn Trãi</v>
          </cell>
          <cell r="D78" t="str">
            <v>T. Vĩnh Phúc</v>
          </cell>
          <cell r="E78" t="str">
            <v>TP. Phúc Yên</v>
          </cell>
          <cell r="F78">
            <v>77</v>
          </cell>
          <cell r="H78" t="str">
            <v>WM+</v>
          </cell>
          <cell r="I78" t="str">
            <v>SAFEFAST</v>
          </cell>
        </row>
        <row r="79">
          <cell r="B79" t="str">
            <v>6347</v>
          </cell>
          <cell r="C79" t="str">
            <v>WM+ VPC 41 Trần Hưng Đạo</v>
          </cell>
          <cell r="D79" t="str">
            <v>T. Vĩnh Phúc</v>
          </cell>
          <cell r="E79" t="str">
            <v>TP. Phúc Yên</v>
          </cell>
          <cell r="F79">
            <v>78</v>
          </cell>
          <cell r="H79" t="str">
            <v>WM+</v>
          </cell>
          <cell r="I79" t="str">
            <v>SAFEFAST</v>
          </cell>
        </row>
        <row r="80">
          <cell r="B80" t="str">
            <v>2A50</v>
          </cell>
          <cell r="C80" t="str">
            <v>WM+ VPC TDP Trại Dật, Bình Xuyên</v>
          </cell>
          <cell r="D80" t="str">
            <v>T. Vĩnh Phúc</v>
          </cell>
          <cell r="E80" t="str">
            <v>H. Yên Lạc</v>
          </cell>
          <cell r="F80">
            <v>79</v>
          </cell>
          <cell r="H80" t="str">
            <v>WM+</v>
          </cell>
          <cell r="I80" t="str">
            <v>SAFEFAST</v>
          </cell>
        </row>
        <row r="81">
          <cell r="B81" t="str">
            <v>2CJF</v>
          </cell>
          <cell r="C81" t="str">
            <v>WM+ PTO Thôn 5 Lũng Hạ, Tam Hồng</v>
          </cell>
          <cell r="D81" t="str">
            <v>T. Vĩnh Phúc</v>
          </cell>
          <cell r="E81" t="str">
            <v>H. Yên Lạc</v>
          </cell>
          <cell r="F81">
            <v>80</v>
          </cell>
          <cell r="I81" t="str">
            <v>SAFEFAST</v>
          </cell>
        </row>
        <row r="82">
          <cell r="B82" t="str">
            <v>2BQK</v>
          </cell>
          <cell r="C82" t="str">
            <v>WM+ PTO Ngũ Hồ, Bình Xuyên</v>
          </cell>
          <cell r="D82" t="str">
            <v>T. Vĩnh Phúc</v>
          </cell>
          <cell r="E82" t="str">
            <v>H. Yên Lạc</v>
          </cell>
          <cell r="F82">
            <v>81</v>
          </cell>
          <cell r="H82" t="str">
            <v>WMP</v>
          </cell>
          <cell r="I82" t="str">
            <v>SAFEFAST</v>
          </cell>
        </row>
        <row r="83">
          <cell r="B83" t="str">
            <v>2AUQ</v>
          </cell>
          <cell r="C83" t="str">
            <v>WM+ VPC Bảo Đức, Đạo Đức</v>
          </cell>
          <cell r="D83" t="str">
            <v>T. Vĩnh Phúc</v>
          </cell>
          <cell r="E83" t="str">
            <v>H. Yên Lạc</v>
          </cell>
          <cell r="F83">
            <v>82</v>
          </cell>
          <cell r="H83" t="str">
            <v>WM+</v>
          </cell>
          <cell r="I83" t="str">
            <v>SAFEFAST</v>
          </cell>
        </row>
        <row r="84">
          <cell r="B84" t="str">
            <v>5830</v>
          </cell>
          <cell r="C84" t="str">
            <v>WM+ VPC TDP Độc Lập, Bình Xuyên</v>
          </cell>
          <cell r="D84" t="str">
            <v>T. Vĩnh Phúc</v>
          </cell>
          <cell r="E84" t="str">
            <v>H. Yên Lạc</v>
          </cell>
          <cell r="F84">
            <v>83</v>
          </cell>
          <cell r="H84" t="str">
            <v>WM+</v>
          </cell>
          <cell r="I84" t="str">
            <v>SAFEFAST</v>
          </cell>
        </row>
        <row r="85">
          <cell r="B85" t="str">
            <v>5042</v>
          </cell>
          <cell r="C85" t="str">
            <v>WM+ VPC Khu 3 Thôn Đoài, Đường DT 305</v>
          </cell>
          <cell r="D85" t="str">
            <v>T. Vĩnh Phúc</v>
          </cell>
          <cell r="E85" t="str">
            <v>H. Yên Lạc</v>
          </cell>
          <cell r="F85">
            <v>84</v>
          </cell>
          <cell r="H85" t="str">
            <v>WM+</v>
          </cell>
          <cell r="I85" t="str">
            <v>SAFEFAST</v>
          </cell>
        </row>
        <row r="86">
          <cell r="B86" t="str">
            <v>5131</v>
          </cell>
          <cell r="C86" t="str">
            <v>WM+ VPC Khu 3 Thôn Đoài, Đường DT 303</v>
          </cell>
          <cell r="D86" t="str">
            <v>T. Vĩnh Phúc</v>
          </cell>
          <cell r="E86" t="str">
            <v>H. Yên Lạc</v>
          </cell>
          <cell r="F86">
            <v>85</v>
          </cell>
          <cell r="H86" t="str">
            <v>WM+</v>
          </cell>
          <cell r="I86" t="str">
            <v>SAFEFAST</v>
          </cell>
        </row>
        <row r="87">
          <cell r="B87" t="str">
            <v>2BRO</v>
          </cell>
          <cell r="C87" t="str">
            <v>WM+ PTO TDP 3 Tiên, Yên Lạc</v>
          </cell>
          <cell r="D87" t="str">
            <v>T. Vĩnh Phúc</v>
          </cell>
          <cell r="E87" t="str">
            <v>H. Yên Lạc</v>
          </cell>
          <cell r="F87">
            <v>86</v>
          </cell>
          <cell r="H87" t="str">
            <v>WM+</v>
          </cell>
          <cell r="I87" t="str">
            <v>SAFEFAST</v>
          </cell>
        </row>
        <row r="88">
          <cell r="B88" t="str">
            <v>2BHW</v>
          </cell>
          <cell r="C88" t="str">
            <v>WM+ PTO Cung Thượng, Yên Lạc</v>
          </cell>
          <cell r="D88" t="str">
            <v>T. Vĩnh Phúc</v>
          </cell>
          <cell r="E88" t="str">
            <v>H. Yên Lạc</v>
          </cell>
          <cell r="F88">
            <v>87</v>
          </cell>
          <cell r="H88" t="str">
            <v>WM+</v>
          </cell>
          <cell r="I88" t="str">
            <v>SAFEFAST</v>
          </cell>
        </row>
        <row r="89">
          <cell r="B89" t="str">
            <v>5679</v>
          </cell>
          <cell r="C89" t="str">
            <v>WM+ VPC Ngã 5 Tam Hồng, Yên Lạc</v>
          </cell>
          <cell r="D89" t="str">
            <v>T. Vĩnh Phúc</v>
          </cell>
          <cell r="E89" t="str">
            <v>H. Yên Lạc</v>
          </cell>
          <cell r="F89">
            <v>88</v>
          </cell>
          <cell r="H89" t="str">
            <v>WM+</v>
          </cell>
          <cell r="I89" t="str">
            <v>SAFEFAST</v>
          </cell>
        </row>
        <row r="90">
          <cell r="B90" t="str">
            <v>6968</v>
          </cell>
          <cell r="C90" t="str">
            <v>WM+ VPC Tảo Phú, Yên Lạc</v>
          </cell>
          <cell r="D90" t="str">
            <v>T. Vĩnh Phúc</v>
          </cell>
          <cell r="E90" t="str">
            <v>H. Yên Lạc</v>
          </cell>
          <cell r="F90">
            <v>89</v>
          </cell>
          <cell r="H90" t="str">
            <v>WM+</v>
          </cell>
          <cell r="I90" t="str">
            <v>SAFEFAST</v>
          </cell>
        </row>
        <row r="91">
          <cell r="B91" t="str">
            <v>6049</v>
          </cell>
          <cell r="C91" t="str">
            <v>WM+ VPC Phố Lồ, Yên Lạc</v>
          </cell>
          <cell r="D91" t="str">
            <v>T. Vĩnh Phúc</v>
          </cell>
          <cell r="E91" t="str">
            <v>H. Yên Lạc</v>
          </cell>
          <cell r="F91">
            <v>90</v>
          </cell>
          <cell r="H91" t="str">
            <v>WM+</v>
          </cell>
          <cell r="I91" t="str">
            <v>SAFEFAST</v>
          </cell>
        </row>
        <row r="92">
          <cell r="B92" t="str">
            <v>2BOB</v>
          </cell>
          <cell r="C92" t="str">
            <v>WM+ PTO Gảnh Đá, Nguyệt Đức</v>
          </cell>
          <cell r="D92" t="str">
            <v>T. Vĩnh Phúc</v>
          </cell>
          <cell r="E92" t="str">
            <v>H. Yên Lạc</v>
          </cell>
          <cell r="F92">
            <v>91</v>
          </cell>
          <cell r="H92" t="str">
            <v>WM+</v>
          </cell>
          <cell r="I92" t="str">
            <v>SAFEFAST</v>
          </cell>
        </row>
        <row r="93">
          <cell r="B93" t="str">
            <v>2BPR</v>
          </cell>
          <cell r="C93" t="str">
            <v>WM+ PTO Nhật Chiêu 4, Liên Châu</v>
          </cell>
          <cell r="D93" t="str">
            <v>T. Vĩnh Phúc</v>
          </cell>
          <cell r="E93" t="str">
            <v>H. Yên Lạc</v>
          </cell>
          <cell r="F93">
            <v>92</v>
          </cell>
          <cell r="H93" t="str">
            <v>WM+</v>
          </cell>
          <cell r="I93" t="str">
            <v>SAFEFAST</v>
          </cell>
        </row>
        <row r="94">
          <cell r="B94" t="str">
            <v>2BCC</v>
          </cell>
          <cell r="C94" t="str">
            <v>WM+ PTO Đại Tự 2, Liên Châu</v>
          </cell>
          <cell r="D94" t="str">
            <v>T. Vĩnh Phúc</v>
          </cell>
          <cell r="E94" t="str">
            <v>H. Yên Lạc</v>
          </cell>
          <cell r="F94">
            <v>93</v>
          </cell>
          <cell r="H94" t="str">
            <v>WM+</v>
          </cell>
          <cell r="I94" t="str">
            <v>SAFEFAST</v>
          </cell>
        </row>
        <row r="95">
          <cell r="B95" t="str">
            <v>2B05</v>
          </cell>
          <cell r="C95" t="str">
            <v>WM+ VPC Yên Đồng, Yên Lạc</v>
          </cell>
          <cell r="D95" t="str">
            <v>T. Vĩnh Phúc</v>
          </cell>
          <cell r="E95" t="str">
            <v>H. Yên Lạc</v>
          </cell>
          <cell r="F95">
            <v>94</v>
          </cell>
          <cell r="H95" t="str">
            <v>WM+</v>
          </cell>
          <cell r="I95" t="str">
            <v>SAFEFAST</v>
          </cell>
        </row>
        <row r="96">
          <cell r="B96" t="str">
            <v>6524</v>
          </cell>
          <cell r="C96" t="str">
            <v>WM+ VPC Thôn Chùa, Vĩnh Tường</v>
          </cell>
          <cell r="D96" t="str">
            <v>T. Vĩnh Phúc</v>
          </cell>
          <cell r="E96" t="str">
            <v>H. Vĩnh Tường</v>
          </cell>
          <cell r="F96">
            <v>95</v>
          </cell>
          <cell r="H96" t="str">
            <v>WM+</v>
          </cell>
          <cell r="I96" t="str">
            <v>SAFEFAST</v>
          </cell>
        </row>
        <row r="97">
          <cell r="B97" t="str">
            <v>6480</v>
          </cell>
          <cell r="C97" t="str">
            <v>WM+ VPC Khu 4 TT Tứ Trưng</v>
          </cell>
          <cell r="D97" t="str">
            <v>T. Vĩnh Phúc</v>
          </cell>
          <cell r="E97" t="str">
            <v>H. Vĩnh Tường</v>
          </cell>
          <cell r="F97">
            <v>96</v>
          </cell>
          <cell r="H97" t="str">
            <v>WM+</v>
          </cell>
          <cell r="I97" t="str">
            <v>SAFEFAST</v>
          </cell>
        </row>
        <row r="98">
          <cell r="B98" t="str">
            <v>2AD1</v>
          </cell>
          <cell r="C98" t="str">
            <v>WM+ VPC Lê Xoay, TT Vĩnh Tường</v>
          </cell>
          <cell r="D98" t="str">
            <v>T. Vĩnh Phúc</v>
          </cell>
          <cell r="E98" t="str">
            <v>H. Vĩnh Tường</v>
          </cell>
          <cell r="F98">
            <v>97</v>
          </cell>
          <cell r="H98" t="str">
            <v>WM+</v>
          </cell>
          <cell r="I98" t="str">
            <v>SAFEFAST</v>
          </cell>
        </row>
        <row r="99">
          <cell r="B99" t="str">
            <v>2BLI</v>
          </cell>
          <cell r="C99" t="str">
            <v>WM+ PTO Thôn Trung, Thổ Tang</v>
          </cell>
          <cell r="D99" t="str">
            <v>T. Vĩnh Phúc</v>
          </cell>
          <cell r="E99" t="str">
            <v>H. Vĩnh Tường</v>
          </cell>
          <cell r="F99">
            <v>98</v>
          </cell>
          <cell r="H99" t="str">
            <v>WM+</v>
          </cell>
          <cell r="I99" t="str">
            <v>SAFEFAST</v>
          </cell>
        </row>
        <row r="100">
          <cell r="B100" t="str">
            <v>6353</v>
          </cell>
          <cell r="C100" t="str">
            <v>WM+ VPC Hoàng Xá Đình, Vĩnh Tường</v>
          </cell>
          <cell r="D100" t="str">
            <v>T. Vĩnh Phúc</v>
          </cell>
          <cell r="E100" t="str">
            <v>H. Vĩnh Tường</v>
          </cell>
          <cell r="F100">
            <v>99</v>
          </cell>
          <cell r="H100" t="str">
            <v>WM+</v>
          </cell>
          <cell r="I100" t="str">
            <v>SAFEFAST</v>
          </cell>
        </row>
        <row r="101">
          <cell r="B101" t="str">
            <v>5924</v>
          </cell>
          <cell r="C101" t="str">
            <v>WM+ VPC TDP Đội Cấn, Vĩnh Tường</v>
          </cell>
          <cell r="D101" t="str">
            <v>T. Vĩnh Phúc</v>
          </cell>
          <cell r="E101" t="str">
            <v>H. Vĩnh Tường</v>
          </cell>
          <cell r="F101">
            <v>100</v>
          </cell>
          <cell r="H101" t="str">
            <v>WM+</v>
          </cell>
          <cell r="I101" t="str">
            <v>SAFEFAST</v>
          </cell>
        </row>
        <row r="102">
          <cell r="B102" t="str">
            <v>6930</v>
          </cell>
          <cell r="C102" t="str">
            <v>WM+ VPC Xuân Húc 2, Vĩnh Tường</v>
          </cell>
          <cell r="D102" t="str">
            <v>T. Vĩnh Phúc</v>
          </cell>
          <cell r="E102" t="str">
            <v>H. Vĩnh Tường</v>
          </cell>
          <cell r="F102">
            <v>101</v>
          </cell>
          <cell r="H102" t="str">
            <v>WM+</v>
          </cell>
          <cell r="I102" t="str">
            <v>SAFEFAST</v>
          </cell>
        </row>
        <row r="103">
          <cell r="B103" t="str">
            <v>5994</v>
          </cell>
          <cell r="C103" t="str">
            <v>WM+ VPC Giã Bàng, Yên Lạc</v>
          </cell>
          <cell r="D103" t="str">
            <v>T. Vĩnh Phúc</v>
          </cell>
          <cell r="E103" t="str">
            <v>H. Vĩnh Tường</v>
          </cell>
          <cell r="F103">
            <v>102</v>
          </cell>
          <cell r="H103" t="str">
            <v>WM+</v>
          </cell>
          <cell r="I103" t="str">
            <v>SAFEFAST</v>
          </cell>
        </row>
        <row r="104">
          <cell r="B104" t="str">
            <v>6109</v>
          </cell>
          <cell r="C104" t="str">
            <v>WM+ VPC Ngọc Động, Vĩnh Tường</v>
          </cell>
          <cell r="D104" t="str">
            <v>T. Vĩnh Phúc</v>
          </cell>
          <cell r="E104" t="str">
            <v>H. Vĩnh Tường</v>
          </cell>
          <cell r="F104">
            <v>103</v>
          </cell>
          <cell r="H104" t="str">
            <v>WM+</v>
          </cell>
          <cell r="I104" t="str">
            <v>SAFEFAST</v>
          </cell>
        </row>
        <row r="105">
          <cell r="B105" t="str">
            <v>5960</v>
          </cell>
          <cell r="C105" t="str">
            <v>WM+ VPC Trần Nguyên Hãn</v>
          </cell>
          <cell r="D105" t="str">
            <v>T. Vĩnh Phúc</v>
          </cell>
          <cell r="E105" t="str">
            <v>H. Vĩnh Tường</v>
          </cell>
          <cell r="F105">
            <v>104</v>
          </cell>
          <cell r="H105" t="str">
            <v>WM+</v>
          </cell>
          <cell r="I105" t="str">
            <v>SAFEFAST</v>
          </cell>
        </row>
        <row r="106">
          <cell r="B106" t="str">
            <v>6018</v>
          </cell>
          <cell r="C106" t="str">
            <v>WM+ VPC Bắc Cường, Vĩnh Tường</v>
          </cell>
          <cell r="D106" t="str">
            <v>T. Vĩnh Phúc</v>
          </cell>
          <cell r="E106" t="str">
            <v>H. Vĩnh Tường</v>
          </cell>
          <cell r="F106">
            <v>105</v>
          </cell>
          <cell r="H106" t="str">
            <v>WM+</v>
          </cell>
          <cell r="I106" t="str">
            <v>SAFEFAST</v>
          </cell>
        </row>
        <row r="107">
          <cell r="B107" t="str">
            <v>6288</v>
          </cell>
          <cell r="C107" t="str">
            <v>WM+ VPC Bồ Sao, Vĩnh Tường</v>
          </cell>
          <cell r="D107" t="str">
            <v>T. Vĩnh Phúc</v>
          </cell>
          <cell r="E107" t="str">
            <v>H. Vĩnh Tường</v>
          </cell>
          <cell r="F107">
            <v>106</v>
          </cell>
          <cell r="H107" t="str">
            <v>WM+</v>
          </cell>
          <cell r="I107" t="str">
            <v>SAFEFAST</v>
          </cell>
        </row>
        <row r="108">
          <cell r="B108" t="str">
            <v>2BGB</v>
          </cell>
          <cell r="C108" t="str">
            <v>WM+ PTO Thôn Trung, Vĩnh Thành</v>
          </cell>
          <cell r="D108" t="str">
            <v>T. Vĩnh Phúc</v>
          </cell>
          <cell r="E108" t="str">
            <v>H. Vĩnh Tường</v>
          </cell>
          <cell r="F108">
            <v>107</v>
          </cell>
          <cell r="H108" t="str">
            <v>WM+</v>
          </cell>
          <cell r="I108" t="str">
            <v>SAFEFAST</v>
          </cell>
        </row>
        <row r="109">
          <cell r="B109" t="str">
            <v>2BM0</v>
          </cell>
          <cell r="C109" t="str">
            <v>WM+ PTO Thôn Mới, Vĩnh Hưng</v>
          </cell>
          <cell r="D109" t="str">
            <v>T. Vĩnh Phúc</v>
          </cell>
          <cell r="E109" t="str">
            <v>H. Vĩnh Tường</v>
          </cell>
          <cell r="F109">
            <v>108</v>
          </cell>
          <cell r="H109" t="str">
            <v>WM+</v>
          </cell>
          <cell r="I109" t="str">
            <v>SAFEFAST</v>
          </cell>
        </row>
        <row r="110">
          <cell r="B110" t="str">
            <v>2CAX</v>
          </cell>
          <cell r="C110" t="str">
            <v>WM+ PTO Thôn Chợ, Vĩnh Hưng</v>
          </cell>
          <cell r="D110" t="str">
            <v>T. Vĩnh Phúc</v>
          </cell>
          <cell r="E110" t="str">
            <v>H. Vĩnh Tường</v>
          </cell>
          <cell r="F110">
            <v>109</v>
          </cell>
          <cell r="H110" t="str">
            <v>WMP</v>
          </cell>
          <cell r="I110" t="str">
            <v>SAFEFAST</v>
          </cell>
        </row>
        <row r="111">
          <cell r="B111" t="str">
            <v>6258</v>
          </cell>
          <cell r="C111" t="str">
            <v>WM+ VPC Đại Đồng, Vĩnh Tường</v>
          </cell>
          <cell r="D111" t="str">
            <v>T. Vĩnh Phúc</v>
          </cell>
          <cell r="E111" t="str">
            <v>H. Vĩnh Tường</v>
          </cell>
          <cell r="F111">
            <v>110</v>
          </cell>
          <cell r="H111" t="str">
            <v>WM+</v>
          </cell>
          <cell r="I111" t="str">
            <v>SAFEFAST</v>
          </cell>
        </row>
        <row r="112">
          <cell r="B112" t="str">
            <v>6621</v>
          </cell>
          <cell r="C112" t="str">
            <v>WM+ VPC Phố Kiệu, Vĩnh Tường</v>
          </cell>
          <cell r="D112" t="str">
            <v>T. Vĩnh Phúc</v>
          </cell>
          <cell r="E112" t="str">
            <v>H. Vĩnh Tường</v>
          </cell>
          <cell r="F112">
            <v>111</v>
          </cell>
          <cell r="H112" t="str">
            <v>WM+</v>
          </cell>
          <cell r="I112" t="str">
            <v>SAFEFAST</v>
          </cell>
        </row>
        <row r="113">
          <cell r="B113" t="str">
            <v>2BDI</v>
          </cell>
          <cell r="C113" t="str">
            <v>WM+ PTO Phú Nông, Vĩnh An</v>
          </cell>
          <cell r="D113" t="str">
            <v>T. Vĩnh Phúc</v>
          </cell>
          <cell r="E113" t="str">
            <v>H. Vĩnh Tường</v>
          </cell>
          <cell r="F113">
            <v>112</v>
          </cell>
          <cell r="H113" t="str">
            <v>WM+</v>
          </cell>
          <cell r="I113" t="str">
            <v>SAFEFAST</v>
          </cell>
        </row>
        <row r="114">
          <cell r="B114" t="str">
            <v>6470</v>
          </cell>
          <cell r="C114" t="str">
            <v>WM+ VPC Hoàng Đan, Tam Dương</v>
          </cell>
          <cell r="D114" t="str">
            <v>T. Vĩnh Phúc</v>
          </cell>
          <cell r="E114" t="str">
            <v>H. Vĩnh Tường</v>
          </cell>
          <cell r="F114">
            <v>113</v>
          </cell>
          <cell r="H114" t="str">
            <v>WM+</v>
          </cell>
          <cell r="I114" t="str">
            <v>SAFEFAST</v>
          </cell>
        </row>
        <row r="115">
          <cell r="B115" t="str">
            <v>6233</v>
          </cell>
          <cell r="C115" t="str">
            <v>WM+ HBH Tiểu Khu 6 TT Lương Sơn</v>
          </cell>
          <cell r="D115" t="str">
            <v>T. Hòa Bình</v>
          </cell>
          <cell r="E115" t="str">
            <v>H. Lương Sơn</v>
          </cell>
          <cell r="F115">
            <v>114</v>
          </cell>
          <cell r="H115" t="str">
            <v>WMP</v>
          </cell>
          <cell r="I115" t="str">
            <v>HTVINA</v>
          </cell>
        </row>
        <row r="116">
          <cell r="B116" t="str">
            <v>2CKR</v>
          </cell>
          <cell r="C116" t="str">
            <v>WM+ PTO Thôn Chợ Bến, X. Cao Dương</v>
          </cell>
          <cell r="D116" t="str">
            <v>T. Hòa Bình</v>
          </cell>
          <cell r="E116" t="str">
            <v>H. Lương Sơn</v>
          </cell>
          <cell r="F116">
            <v>115</v>
          </cell>
          <cell r="I116" t="str">
            <v>HTVINA</v>
          </cell>
        </row>
        <row r="117">
          <cell r="B117" t="str">
            <v>5373</v>
          </cell>
          <cell r="C117" t="str">
            <v>WM+ HBH 444 Cù Chính Lan</v>
          </cell>
          <cell r="D117" t="str">
            <v>T. Hòa Bình</v>
          </cell>
          <cell r="E117" t="str">
            <v>TP. Hòa Bình</v>
          </cell>
          <cell r="F117">
            <v>116</v>
          </cell>
          <cell r="H117" t="str">
            <v>WMP</v>
          </cell>
          <cell r="I117" t="str">
            <v>HTVINA</v>
          </cell>
        </row>
        <row r="118">
          <cell r="B118" t="str">
            <v>1648</v>
          </cell>
          <cell r="C118" t="str">
            <v>WM VCP HBH Hòa Bình</v>
          </cell>
          <cell r="D118" t="str">
            <v>T. Hòa Bình</v>
          </cell>
          <cell r="E118" t="str">
            <v>TP. Hòa Bình</v>
          </cell>
          <cell r="F118">
            <v>117</v>
          </cell>
          <cell r="H118" t="str">
            <v>WMT</v>
          </cell>
          <cell r="I118" t="str">
            <v>HTVINA</v>
          </cell>
        </row>
        <row r="119">
          <cell r="B119" t="str">
            <v>5348</v>
          </cell>
          <cell r="C119" t="str">
            <v>WM+ HBH 490 Trần Hưng Đạo</v>
          </cell>
          <cell r="D119" t="str">
            <v>T. Hòa Bình</v>
          </cell>
          <cell r="E119" t="str">
            <v>TP. Hòa Bình</v>
          </cell>
          <cell r="F119">
            <v>118</v>
          </cell>
          <cell r="H119" t="str">
            <v>WMP</v>
          </cell>
          <cell r="I119" t="str">
            <v>HTVINA</v>
          </cell>
        </row>
        <row r="120">
          <cell r="B120" t="str">
            <v>2AG5</v>
          </cell>
          <cell r="C120" t="str">
            <v>WM+ HBH 841 An Dương Vương</v>
          </cell>
          <cell r="D120" t="str">
            <v>T. Hòa Bình</v>
          </cell>
          <cell r="E120" t="str">
            <v>TP. Hòa Bình</v>
          </cell>
          <cell r="F120">
            <v>119</v>
          </cell>
          <cell r="H120" t="str">
            <v>WMP</v>
          </cell>
          <cell r="I120" t="str">
            <v>HTVINA</v>
          </cell>
        </row>
        <row r="121">
          <cell r="B121" t="str">
            <v>5497</v>
          </cell>
          <cell r="C121" t="str">
            <v>WM+ HBH 665 Cù Chính Lan</v>
          </cell>
          <cell r="D121" t="str">
            <v>T. Hòa Bình</v>
          </cell>
          <cell r="E121" t="str">
            <v>TP. Hòa Bình</v>
          </cell>
          <cell r="F121">
            <v>120</v>
          </cell>
          <cell r="H121" t="str">
            <v>WMP</v>
          </cell>
          <cell r="I121" t="str">
            <v>HTVINA</v>
          </cell>
        </row>
        <row r="122">
          <cell r="B122" t="str">
            <v>2CAT</v>
          </cell>
          <cell r="C122" t="str">
            <v xml:space="preserve">WM+ PTO 02 Lê Thánh Tông </v>
          </cell>
          <cell r="D122" t="str">
            <v>T. Hòa Bình</v>
          </cell>
          <cell r="E122" t="str">
            <v>TP. Hòa Bình</v>
          </cell>
          <cell r="F122">
            <v>121</v>
          </cell>
          <cell r="H122" t="str">
            <v>WMP</v>
          </cell>
          <cell r="I122" t="str">
            <v>HTVINA</v>
          </cell>
        </row>
        <row r="123">
          <cell r="B123" t="str">
            <v>2BAR</v>
          </cell>
          <cell r="C123" t="str">
            <v>WM+ PTO 642-644 Cù Chính Lan</v>
          </cell>
          <cell r="D123" t="str">
            <v>T. Hòa Bình</v>
          </cell>
          <cell r="E123" t="str">
            <v>TP. Hòa Bình</v>
          </cell>
          <cell r="F123">
            <v>122</v>
          </cell>
          <cell r="H123" t="str">
            <v>WMP</v>
          </cell>
          <cell r="I123" t="str">
            <v>HTVINA</v>
          </cell>
        </row>
        <row r="124">
          <cell r="B124" t="str">
            <v>5311</v>
          </cell>
          <cell r="C124" t="str">
            <v>WM+ HBH 469 Hoàng Văn Thụ</v>
          </cell>
          <cell r="D124" t="str">
            <v>T. Hòa Bình</v>
          </cell>
          <cell r="E124" t="str">
            <v>TP. Hòa Bình</v>
          </cell>
          <cell r="F124">
            <v>123</v>
          </cell>
          <cell r="H124" t="str">
            <v>WMP</v>
          </cell>
          <cell r="I124" t="str">
            <v>HTVINA</v>
          </cell>
        </row>
        <row r="125">
          <cell r="B125" t="str">
            <v>2BIU</v>
          </cell>
          <cell r="C125" t="str">
            <v>WM+ PTO 301-303 Trần Hưng Đạo</v>
          </cell>
          <cell r="D125" t="str">
            <v>T. Hòa Bình</v>
          </cell>
          <cell r="E125" t="str">
            <v>TP. Hòa Bình</v>
          </cell>
          <cell r="F125">
            <v>124</v>
          </cell>
          <cell r="H125" t="str">
            <v>WMP</v>
          </cell>
          <cell r="I125" t="str">
            <v>HTVINA</v>
          </cell>
        </row>
        <row r="126">
          <cell r="B126" t="str">
            <v>5322</v>
          </cell>
          <cell r="C126" t="str">
            <v>WM+ HBH Tổ 8 Phường Hữu Nghị</v>
          </cell>
          <cell r="D126" t="str">
            <v>T. Hòa Bình</v>
          </cell>
          <cell r="E126" t="str">
            <v>TP. Hòa Bình</v>
          </cell>
          <cell r="F126">
            <v>125</v>
          </cell>
          <cell r="H126" t="str">
            <v>WMP</v>
          </cell>
          <cell r="I126" t="str">
            <v>HTVINA</v>
          </cell>
        </row>
        <row r="127">
          <cell r="B127" t="str">
            <v>6125</v>
          </cell>
          <cell r="C127" t="str">
            <v>WM+ HBH Toà Ann House, Tân Thịnh</v>
          </cell>
          <cell r="D127" t="str">
            <v>T. Hòa Bình</v>
          </cell>
          <cell r="E127" t="str">
            <v>TP. Hòa Bình</v>
          </cell>
          <cell r="F127">
            <v>126</v>
          </cell>
          <cell r="H127" t="str">
            <v>WMP</v>
          </cell>
          <cell r="I127" t="str">
            <v>HTVINA</v>
          </cell>
        </row>
        <row r="128">
          <cell r="B128" t="str">
            <v>5438</v>
          </cell>
          <cell r="C128" t="str">
            <v>WM+ HBH Tổ 09 Phường Tân Thịnh</v>
          </cell>
          <cell r="D128" t="str">
            <v>T. Hòa Bình</v>
          </cell>
          <cell r="E128" t="str">
            <v>TP. Hòa Bình</v>
          </cell>
          <cell r="F128">
            <v>127</v>
          </cell>
          <cell r="H128" t="str">
            <v>WMP</v>
          </cell>
          <cell r="I128" t="str">
            <v>HTVINA</v>
          </cell>
        </row>
        <row r="129">
          <cell r="B129" t="str">
            <v>5349</v>
          </cell>
          <cell r="C129" t="str">
            <v>WM+ HBH 253 Phùng Hưng</v>
          </cell>
          <cell r="D129" t="str">
            <v>T. Hòa Bình</v>
          </cell>
          <cell r="E129" t="str">
            <v>TP. Hòa Bình</v>
          </cell>
          <cell r="F129">
            <v>128</v>
          </cell>
          <cell r="H129" t="str">
            <v>WMP</v>
          </cell>
          <cell r="I129" t="str">
            <v>HTVINA</v>
          </cell>
        </row>
        <row r="130">
          <cell r="B130" t="str">
            <v>2CCJ</v>
          </cell>
          <cell r="C130" t="str">
            <v>WM+ PTO 257 Hoàng Văn Thụ</v>
          </cell>
          <cell r="D130" t="str">
            <v>T. Hòa Bình</v>
          </cell>
          <cell r="E130" t="str">
            <v>TP. Hòa Bình</v>
          </cell>
          <cell r="F130">
            <v>129</v>
          </cell>
          <cell r="H130" t="str">
            <v>WMP</v>
          </cell>
          <cell r="I130" t="str">
            <v>HTVINA</v>
          </cell>
        </row>
        <row r="131">
          <cell r="B131" t="str">
            <v>6584</v>
          </cell>
          <cell r="C131" t="str">
            <v>WM+ HBH Tiểu khu Thạch Lý, Đà Bắc</v>
          </cell>
          <cell r="D131" t="str">
            <v>T. Hòa Bình</v>
          </cell>
          <cell r="E131" t="str">
            <v>H. Đà Bắc</v>
          </cell>
          <cell r="F131">
            <v>130</v>
          </cell>
          <cell r="H131" t="str">
            <v>WMP</v>
          </cell>
          <cell r="I131" t="str">
            <v>HTVINA</v>
          </cell>
        </row>
        <row r="132">
          <cell r="B132" t="str">
            <v>2CAA</v>
          </cell>
          <cell r="C132" t="str">
            <v>WM+ PTO Xóm Sơn Phú, Cao Sơn</v>
          </cell>
          <cell r="D132" t="str">
            <v>T. Hòa Bình</v>
          </cell>
          <cell r="E132" t="str">
            <v>H. Đà Bắc</v>
          </cell>
          <cell r="F132">
            <v>131</v>
          </cell>
          <cell r="H132" t="str">
            <v>WMP</v>
          </cell>
          <cell r="I132" t="str">
            <v>HTVINA</v>
          </cell>
        </row>
        <row r="133">
          <cell r="B133" t="str">
            <v>6755</v>
          </cell>
          <cell r="C133" t="str">
            <v>WM+ HBH Khu 5, TT Cao Phong</v>
          </cell>
          <cell r="D133" t="str">
            <v>T. Hòa Bình</v>
          </cell>
          <cell r="E133" t="str">
            <v>H. Cao Phong</v>
          </cell>
          <cell r="F133">
            <v>132</v>
          </cell>
          <cell r="H133" t="str">
            <v>WMP</v>
          </cell>
          <cell r="I133" t="str">
            <v>HTVINA</v>
          </cell>
        </row>
        <row r="134">
          <cell r="B134" t="str">
            <v>6442</v>
          </cell>
          <cell r="C134" t="str">
            <v>WM+ HBH Tiểu khu 3, TT Mai Châu</v>
          </cell>
          <cell r="D134" t="str">
            <v>T. Hòa Bình</v>
          </cell>
          <cell r="E134" t="str">
            <v>H. Mai Châu</v>
          </cell>
          <cell r="F134">
            <v>133</v>
          </cell>
          <cell r="H134" t="str">
            <v>WMP</v>
          </cell>
          <cell r="I134" t="str">
            <v>HTVINA</v>
          </cell>
        </row>
        <row r="135">
          <cell r="B135" t="str">
            <v>2BYC</v>
          </cell>
          <cell r="C135" t="str">
            <v xml:space="preserve">WM+ PTO 77 Khu Tâm Đức </v>
          </cell>
          <cell r="D135" t="str">
            <v>T. Hòa Bình</v>
          </cell>
          <cell r="E135" t="str">
            <v>H. Tân Lạc</v>
          </cell>
          <cell r="F135">
            <v>134</v>
          </cell>
          <cell r="H135" t="str">
            <v>WMP</v>
          </cell>
          <cell r="I135" t="str">
            <v>HTVINA</v>
          </cell>
        </row>
        <row r="136">
          <cell r="B136" t="str">
            <v>2CCX</v>
          </cell>
          <cell r="C136" t="str">
            <v>WM+ PTO Xóm Nen 2, Tân Lạc</v>
          </cell>
          <cell r="D136" t="str">
            <v>T. Hòa Bình</v>
          </cell>
          <cell r="E136" t="str">
            <v>H. Tân Lạc</v>
          </cell>
          <cell r="F136">
            <v>135</v>
          </cell>
          <cell r="H136" t="str">
            <v>WMP</v>
          </cell>
          <cell r="I136" t="str">
            <v>HTVINA</v>
          </cell>
        </row>
        <row r="137">
          <cell r="B137" t="str">
            <v>2CLL</v>
          </cell>
          <cell r="C137" t="str">
            <v>WM+ PTO Xóm Tân Phú, Mường Bi</v>
          </cell>
          <cell r="D137" t="str">
            <v>T. Hòa Bình</v>
          </cell>
          <cell r="E137" t="str">
            <v>H. Tân Lạc</v>
          </cell>
          <cell r="F137">
            <v>136</v>
          </cell>
          <cell r="I137" t="str">
            <v>HTVINA</v>
          </cell>
        </row>
        <row r="138">
          <cell r="B138" t="str">
            <v>2ACP</v>
          </cell>
          <cell r="C138" t="str">
            <v>WM+ HBH 23-25 Thống Nhất</v>
          </cell>
          <cell r="D138" t="str">
            <v>T. Hòa Bình</v>
          </cell>
          <cell r="E138" t="str">
            <v>H. Lạc Sơn</v>
          </cell>
          <cell r="F138">
            <v>137</v>
          </cell>
          <cell r="H138" t="str">
            <v>WMP</v>
          </cell>
          <cell r="I138" t="str">
            <v>HTVINA</v>
          </cell>
        </row>
        <row r="139">
          <cell r="B139" t="str">
            <v>2BNW</v>
          </cell>
          <cell r="C139" t="str">
            <v>WM+ PTO Ninh Sơn, Yên Phú</v>
          </cell>
          <cell r="D139" t="str">
            <v>T. Hòa Bình</v>
          </cell>
          <cell r="E139" t="str">
            <v>H. Lạc Sơn</v>
          </cell>
          <cell r="F139">
            <v>138</v>
          </cell>
          <cell r="H139" t="str">
            <v>WMP</v>
          </cell>
          <cell r="I139" t="str">
            <v>HTVINA</v>
          </cell>
        </row>
        <row r="140">
          <cell r="B140" t="str">
            <v>2BWW</v>
          </cell>
          <cell r="C140" t="str">
            <v>WM+ PTO 48 Tân Giang, Lạc Sơn</v>
          </cell>
          <cell r="D140" t="str">
            <v>T. Hòa Bình</v>
          </cell>
          <cell r="E140" t="str">
            <v>H. Lạc Sơn</v>
          </cell>
          <cell r="F140">
            <v>139</v>
          </cell>
          <cell r="H140" t="str">
            <v>WMP</v>
          </cell>
          <cell r="I140" t="str">
            <v>HTVINA</v>
          </cell>
        </row>
        <row r="141">
          <cell r="B141" t="str">
            <v>2CBG</v>
          </cell>
          <cell r="C141" t="str">
            <v>WM+ PTO Lâm Hóa 1, Lạc Sơn</v>
          </cell>
          <cell r="D141" t="str">
            <v>T. Hòa Bình</v>
          </cell>
          <cell r="E141" t="str">
            <v>H. Lạc Sơn</v>
          </cell>
          <cell r="F141">
            <v>140</v>
          </cell>
          <cell r="H141" t="str">
            <v>WMP</v>
          </cell>
          <cell r="I141" t="str">
            <v>HTVINA</v>
          </cell>
        </row>
        <row r="142">
          <cell r="B142" t="str">
            <v>2ADS</v>
          </cell>
          <cell r="C142" t="str">
            <v>WM+ HBH 474 Trần Hưng Đạo</v>
          </cell>
          <cell r="D142" t="str">
            <v>T. Hòa Bình</v>
          </cell>
          <cell r="E142" t="str">
            <v>H. Yên Thủy</v>
          </cell>
          <cell r="F142">
            <v>141</v>
          </cell>
          <cell r="H142" t="str">
            <v>WMP</v>
          </cell>
          <cell r="I142" t="str">
            <v>HTVINA</v>
          </cell>
        </row>
        <row r="143">
          <cell r="B143" t="str">
            <v>2AY8</v>
          </cell>
          <cell r="C143" t="str">
            <v>WM+ HBH Khu 3, Lạc Thủy</v>
          </cell>
          <cell r="D143" t="str">
            <v>T. Hòa Bình</v>
          </cell>
          <cell r="E143" t="str">
            <v>H. Lạc Thủy</v>
          </cell>
          <cell r="F143">
            <v>142</v>
          </cell>
          <cell r="H143" t="str">
            <v>WMP</v>
          </cell>
          <cell r="I143" t="str">
            <v>HTVINA</v>
          </cell>
        </row>
        <row r="144">
          <cell r="B144" t="str">
            <v>2BZC</v>
          </cell>
          <cell r="C144" t="str">
            <v>WM+ PTO 423A Trần Hưng Đạo</v>
          </cell>
          <cell r="D144" t="str">
            <v>T. Hòa Bình</v>
          </cell>
          <cell r="E144" t="str">
            <v>H. Lạc Thủy</v>
          </cell>
          <cell r="F144">
            <v>143</v>
          </cell>
          <cell r="H144" t="str">
            <v>WMP</v>
          </cell>
          <cell r="I144" t="str">
            <v>HTVINA</v>
          </cell>
        </row>
        <row r="145">
          <cell r="B145" t="str">
            <v>6244</v>
          </cell>
          <cell r="C145" t="str">
            <v>WM+ HBH Khu Thống Nhất, TT Bo</v>
          </cell>
          <cell r="D145" t="str">
            <v>T. Hòa Bình</v>
          </cell>
          <cell r="E145" t="str">
            <v>H. Kim Bôi</v>
          </cell>
          <cell r="F145">
            <v>144</v>
          </cell>
          <cell r="H145" t="str">
            <v>WMP</v>
          </cell>
          <cell r="I145" t="str">
            <v>HTVINA</v>
          </cell>
        </row>
        <row r="146">
          <cell r="B146" t="str">
            <v>2BLD</v>
          </cell>
          <cell r="C146" t="str">
            <v>WM+ PTO Bãi Chạo, Mường Động</v>
          </cell>
          <cell r="D146" t="str">
            <v>T. Hòa Bình</v>
          </cell>
          <cell r="E146" t="str">
            <v>H. Kim Bôi</v>
          </cell>
          <cell r="F146">
            <v>145</v>
          </cell>
          <cell r="H146" t="str">
            <v>WMP</v>
          </cell>
          <cell r="I146" t="str">
            <v>HTVINA</v>
          </cell>
        </row>
        <row r="147">
          <cell r="B147" t="str">
            <v>2BGZ</v>
          </cell>
          <cell r="C147" t="str">
            <v>WM+ SLA Tiểu khu 3, Bắc Yên</v>
          </cell>
          <cell r="D147" t="str">
            <v>T. Sơn La</v>
          </cell>
          <cell r="E147" t="str">
            <v>H. Bắc Yên</v>
          </cell>
          <cell r="F147">
            <v>146</v>
          </cell>
          <cell r="H147" t="str">
            <v>WMP</v>
          </cell>
          <cell r="I147" t="str">
            <v>VIETTEL</v>
          </cell>
        </row>
        <row r="148">
          <cell r="B148" t="str">
            <v>2ADR</v>
          </cell>
          <cell r="C148" t="str">
            <v>WM+ SLA Hua Mường, Sốp Cộp</v>
          </cell>
          <cell r="D148" t="str">
            <v>T. Sơn La</v>
          </cell>
          <cell r="E148" t="str">
            <v>H. Sốp Cộp</v>
          </cell>
          <cell r="F148">
            <v>147</v>
          </cell>
          <cell r="H148" t="str">
            <v>WMP</v>
          </cell>
          <cell r="I148" t="str">
            <v>VIETTEL</v>
          </cell>
        </row>
        <row r="149">
          <cell r="B149" t="str">
            <v>2ADO</v>
          </cell>
          <cell r="C149" t="str">
            <v>WM+ SLA 93-95 đường Cách Mạng Tháng 8</v>
          </cell>
          <cell r="D149" t="str">
            <v>T. Sơn La</v>
          </cell>
          <cell r="E149" t="str">
            <v>H. Sông Mã</v>
          </cell>
          <cell r="F149">
            <v>148</v>
          </cell>
          <cell r="H149" t="str">
            <v>WMP</v>
          </cell>
          <cell r="I149" t="str">
            <v>VIETTEL</v>
          </cell>
        </row>
        <row r="150">
          <cell r="B150" t="str">
            <v>2ADF</v>
          </cell>
          <cell r="C150" t="str">
            <v>WM+ SLA Tân Lập, Chiềng Khương</v>
          </cell>
          <cell r="D150" t="str">
            <v>T. Sơn La</v>
          </cell>
          <cell r="E150" t="str">
            <v>H. Sông Mã</v>
          </cell>
          <cell r="F150">
            <v>149</v>
          </cell>
          <cell r="H150" t="str">
            <v>WMP</v>
          </cell>
          <cell r="I150" t="str">
            <v>VIETTEL</v>
          </cell>
        </row>
        <row r="151">
          <cell r="B151" t="str">
            <v>2CHE</v>
          </cell>
          <cell r="C151" t="str">
            <v>WM+ SLA 12-14 Hoàng Văn Thụ Sông Mã</v>
          </cell>
          <cell r="D151" t="str">
            <v>T. Sơn La</v>
          </cell>
          <cell r="E151" t="str">
            <v>H. Sông Mã</v>
          </cell>
          <cell r="F151">
            <v>150</v>
          </cell>
          <cell r="I151" t="str">
            <v>VIETTEL</v>
          </cell>
        </row>
        <row r="152">
          <cell r="B152" t="str">
            <v>2ADM</v>
          </cell>
          <cell r="C152" t="str">
            <v>WM+ SLA 284 Tô Hiệu</v>
          </cell>
          <cell r="D152" t="str">
            <v>T. Sơn La</v>
          </cell>
          <cell r="E152" t="str">
            <v>H. Mường La</v>
          </cell>
          <cell r="F152">
            <v>151</v>
          </cell>
          <cell r="H152" t="str">
            <v>WMP</v>
          </cell>
          <cell r="I152" t="str">
            <v>VIETTEL</v>
          </cell>
        </row>
        <row r="153">
          <cell r="B153" t="str">
            <v>5312</v>
          </cell>
          <cell r="C153" t="str">
            <v>WM+ SLA 274 Trường Chinh</v>
          </cell>
          <cell r="D153" t="str">
            <v>T. Sơn La</v>
          </cell>
          <cell r="E153" t="str">
            <v>TP. Sơn La</v>
          </cell>
          <cell r="F153">
            <v>152</v>
          </cell>
          <cell r="H153" t="str">
            <v>WMP</v>
          </cell>
          <cell r="I153" t="str">
            <v>VIETTEL</v>
          </cell>
        </row>
        <row r="154">
          <cell r="B154" t="str">
            <v>5370</v>
          </cell>
          <cell r="C154" t="str">
            <v>WM+ SLA 67 Trường Chinh</v>
          </cell>
          <cell r="D154" t="str">
            <v>T. Sơn La</v>
          </cell>
          <cell r="E154" t="str">
            <v>TP. Sơn La</v>
          </cell>
          <cell r="F154">
            <v>153</v>
          </cell>
          <cell r="H154" t="str">
            <v>WMP</v>
          </cell>
          <cell r="I154" t="str">
            <v>VIETTEL</v>
          </cell>
        </row>
        <row r="155">
          <cell r="B155" t="str">
            <v>1609</v>
          </cell>
          <cell r="C155" t="str">
            <v>WM VCP SLA Sơn La</v>
          </cell>
          <cell r="D155" t="str">
            <v>T. Sơn La</v>
          </cell>
          <cell r="E155" t="str">
            <v>TP. Sơn La</v>
          </cell>
          <cell r="F155">
            <v>154</v>
          </cell>
          <cell r="H155" t="str">
            <v>WMT</v>
          </cell>
          <cell r="I155" t="str">
            <v>VIETTEL</v>
          </cell>
        </row>
        <row r="156">
          <cell r="B156" t="str">
            <v>5491</v>
          </cell>
          <cell r="C156" t="str">
            <v>WM+ SLA 17 Đường Lò Văn Giá</v>
          </cell>
          <cell r="D156" t="str">
            <v>T. Sơn La</v>
          </cell>
          <cell r="E156" t="str">
            <v>TP. Sơn La</v>
          </cell>
          <cell r="F156">
            <v>155</v>
          </cell>
          <cell r="H156" t="str">
            <v>WMP</v>
          </cell>
          <cell r="I156" t="str">
            <v>VIETTEL</v>
          </cell>
        </row>
        <row r="157">
          <cell r="B157" t="str">
            <v>5485</v>
          </cell>
          <cell r="C157" t="str">
            <v>WM+ SLA 223 Chu Văn Thịnh</v>
          </cell>
          <cell r="D157" t="str">
            <v>T. Sơn La</v>
          </cell>
          <cell r="E157" t="str">
            <v>TP. Sơn La</v>
          </cell>
          <cell r="F157">
            <v>156</v>
          </cell>
          <cell r="H157" t="str">
            <v>WMP</v>
          </cell>
          <cell r="I157" t="str">
            <v>VIETTEL</v>
          </cell>
        </row>
        <row r="158">
          <cell r="B158" t="str">
            <v>5289</v>
          </cell>
          <cell r="C158" t="str">
            <v>WM+ SLA 186 Lê Đức Thọ</v>
          </cell>
          <cell r="D158" t="str">
            <v>T. Sơn La</v>
          </cell>
          <cell r="E158" t="str">
            <v>TP. Sơn La</v>
          </cell>
          <cell r="F158">
            <v>157</v>
          </cell>
          <cell r="H158" t="str">
            <v>WMP</v>
          </cell>
          <cell r="I158" t="str">
            <v>VIETTEL</v>
          </cell>
        </row>
        <row r="159">
          <cell r="B159" t="str">
            <v>5296</v>
          </cell>
          <cell r="C159" t="str">
            <v>WM+ SLA 15 Lê Lợi</v>
          </cell>
          <cell r="D159" t="str">
            <v>T. Sơn La</v>
          </cell>
          <cell r="E159" t="str">
            <v>TP. Sơn La</v>
          </cell>
          <cell r="F159">
            <v>158</v>
          </cell>
          <cell r="H159" t="str">
            <v>WMP</v>
          </cell>
          <cell r="I159" t="str">
            <v>VIETTEL</v>
          </cell>
        </row>
        <row r="160">
          <cell r="B160" t="str">
            <v>6913</v>
          </cell>
          <cell r="C160" t="str">
            <v>WM+ SLA 124 Tổ 8 Quyết Thắng</v>
          </cell>
          <cell r="D160" t="str">
            <v>T. Sơn La</v>
          </cell>
          <cell r="E160" t="str">
            <v>TP. Sơn La</v>
          </cell>
          <cell r="F160">
            <v>159</v>
          </cell>
          <cell r="H160" t="str">
            <v>WMP</v>
          </cell>
          <cell r="I160" t="str">
            <v>VIETTEL</v>
          </cell>
        </row>
        <row r="161">
          <cell r="B161" t="str">
            <v>5350</v>
          </cell>
          <cell r="C161" t="str">
            <v>WM+ SLA 437A Trần Đăng Ninh</v>
          </cell>
          <cell r="D161" t="str">
            <v>T. Sơn La</v>
          </cell>
          <cell r="E161" t="str">
            <v>TP. Sơn La</v>
          </cell>
          <cell r="F161">
            <v>160</v>
          </cell>
          <cell r="H161" t="str">
            <v>WMP</v>
          </cell>
          <cell r="I161" t="str">
            <v>VIETTEL</v>
          </cell>
        </row>
        <row r="162">
          <cell r="B162" t="str">
            <v>5345</v>
          </cell>
          <cell r="C162" t="str">
            <v>WM+ SLA 514D Trần Đăng Ninh</v>
          </cell>
          <cell r="D162" t="str">
            <v>T. Sơn La</v>
          </cell>
          <cell r="E162" t="str">
            <v>TP. Sơn La</v>
          </cell>
          <cell r="F162">
            <v>161</v>
          </cell>
          <cell r="H162" t="str">
            <v>WMP</v>
          </cell>
          <cell r="I162" t="str">
            <v>VIETTEL</v>
          </cell>
        </row>
        <row r="163">
          <cell r="B163" t="str">
            <v>6527</v>
          </cell>
          <cell r="C163" t="str">
            <v>WM+ SLA Tổ 8 Chiềng Sinh</v>
          </cell>
          <cell r="D163" t="str">
            <v>T. Sơn La</v>
          </cell>
          <cell r="E163" t="str">
            <v>TP. Sơn La</v>
          </cell>
          <cell r="F163">
            <v>162</v>
          </cell>
          <cell r="H163" t="str">
            <v>WMP</v>
          </cell>
          <cell r="I163" t="str">
            <v>VIETTEL</v>
          </cell>
        </row>
        <row r="164">
          <cell r="B164" t="str">
            <v>2BVQ</v>
          </cell>
          <cell r="C164" t="str">
            <v>WM+ SLA 181 Bùi Thị Xuân</v>
          </cell>
          <cell r="D164" t="str">
            <v>T. Sơn La</v>
          </cell>
          <cell r="E164" t="str">
            <v>TP. Sơn La</v>
          </cell>
          <cell r="F164">
            <v>163</v>
          </cell>
          <cell r="H164" t="str">
            <v>WMP</v>
          </cell>
          <cell r="I164" t="str">
            <v>VIETTEL</v>
          </cell>
        </row>
        <row r="165">
          <cell r="B165" t="str">
            <v>2CKK</v>
          </cell>
          <cell r="C165" t="str">
            <v>WM+ SLA 282 Chu Văn Thịnh, Tô Hiệu</v>
          </cell>
          <cell r="D165" t="str">
            <v>T. Sơn La</v>
          </cell>
          <cell r="E165" t="str">
            <v>TP. Sơn La</v>
          </cell>
          <cell r="F165">
            <v>164</v>
          </cell>
          <cell r="I165" t="str">
            <v>VIETTEL</v>
          </cell>
        </row>
        <row r="166">
          <cell r="B166" t="str">
            <v>2BVF</v>
          </cell>
          <cell r="C166" t="str">
            <v>WM+ SLA Tiểu khu 2, Mai Sơn</v>
          </cell>
          <cell r="D166" t="str">
            <v>T. Sơn La</v>
          </cell>
          <cell r="E166" t="str">
            <v>H. Mai Sơn</v>
          </cell>
          <cell r="F166">
            <v>165</v>
          </cell>
          <cell r="H166" t="str">
            <v>WMP</v>
          </cell>
          <cell r="I166" t="str">
            <v>VIETTEL</v>
          </cell>
        </row>
        <row r="167">
          <cell r="B167" t="str">
            <v>2CBT</v>
          </cell>
          <cell r="C167" t="str">
            <v>WM+ SLA 184, TK 14 Mai Sơn</v>
          </cell>
          <cell r="D167" t="str">
            <v>T. Sơn La</v>
          </cell>
          <cell r="E167" t="str">
            <v>H. Mai Sơn</v>
          </cell>
          <cell r="F167">
            <v>166</v>
          </cell>
          <cell r="H167" t="str">
            <v>WMP</v>
          </cell>
          <cell r="I167" t="str">
            <v>VIETTEL</v>
          </cell>
        </row>
        <row r="168">
          <cell r="B168" t="str">
            <v>6092</v>
          </cell>
          <cell r="C168" t="str">
            <v>WM+ SLA 545 Tiểu Khu 19</v>
          </cell>
          <cell r="D168" t="str">
            <v>T. Sơn La</v>
          </cell>
          <cell r="E168" t="str">
            <v>H. Mai Sơn</v>
          </cell>
          <cell r="F168">
            <v>167</v>
          </cell>
          <cell r="H168" t="str">
            <v>WMP</v>
          </cell>
          <cell r="I168" t="str">
            <v>VIETTEL</v>
          </cell>
        </row>
        <row r="169">
          <cell r="B169" t="str">
            <v>6215</v>
          </cell>
          <cell r="C169" t="str">
            <v>WM+ SLA 100-102 Tiểu Khu 12, TT Mộc Châu</v>
          </cell>
          <cell r="D169" t="str">
            <v>T. Sơn La</v>
          </cell>
          <cell r="E169" t="str">
            <v>TX. Mộc Châu</v>
          </cell>
          <cell r="F169">
            <v>168</v>
          </cell>
          <cell r="H169" t="str">
            <v>WMP</v>
          </cell>
          <cell r="I169" t="str">
            <v>VIETTEL</v>
          </cell>
        </row>
        <row r="170">
          <cell r="B170" t="str">
            <v>2CME</v>
          </cell>
          <cell r="C170" t="str">
            <v>WM+ SLA TDP Bãi Sậy, Mộc Châu</v>
          </cell>
          <cell r="D170" t="str">
            <v>T. Sơn La</v>
          </cell>
          <cell r="E170" t="str">
            <v>TX. Mộc Châu</v>
          </cell>
          <cell r="F170">
            <v>169</v>
          </cell>
          <cell r="I170" t="str">
            <v>VIETTEL</v>
          </cell>
        </row>
        <row r="171">
          <cell r="B171" t="str">
            <v>2CHG</v>
          </cell>
          <cell r="C171" t="str">
            <v>WM+ SLA 32 TDP 34, Mộc Sơn</v>
          </cell>
          <cell r="D171" t="str">
            <v>T. Sơn La</v>
          </cell>
          <cell r="E171" t="str">
            <v>TX. Mộc Châu</v>
          </cell>
          <cell r="F171">
            <v>170</v>
          </cell>
          <cell r="H171" t="str">
            <v>WMP</v>
          </cell>
          <cell r="I171" t="str">
            <v>VIETTEL</v>
          </cell>
        </row>
        <row r="172">
          <cell r="B172" t="str">
            <v>2AFE</v>
          </cell>
          <cell r="C172" t="str">
            <v>WM+ SLA 284 Trần Huy Liệu</v>
          </cell>
          <cell r="D172" t="str">
            <v>T. Sơn La</v>
          </cell>
          <cell r="E172" t="str">
            <v>TX. Mộc Châu</v>
          </cell>
          <cell r="F172">
            <v>171</v>
          </cell>
          <cell r="H172" t="str">
            <v>WMP</v>
          </cell>
          <cell r="I172" t="str">
            <v>VIETTEL</v>
          </cell>
        </row>
        <row r="173">
          <cell r="B173" t="str">
            <v>2AUL</v>
          </cell>
          <cell r="C173" t="str">
            <v>WM+ SLA 12-14-16 Trần Huy Liệu</v>
          </cell>
          <cell r="D173" t="str">
            <v>T. Sơn La</v>
          </cell>
          <cell r="E173" t="str">
            <v>TX. Mộc Châu</v>
          </cell>
          <cell r="F173">
            <v>172</v>
          </cell>
          <cell r="H173" t="str">
            <v>WMP</v>
          </cell>
          <cell r="I173" t="str">
            <v>VIETTEL</v>
          </cell>
        </row>
        <row r="174">
          <cell r="B174" t="str">
            <v>6099</v>
          </cell>
          <cell r="C174" t="str">
            <v>WM+ SLA Lê Thanh Nghị</v>
          </cell>
          <cell r="D174" t="str">
            <v>T. Sơn La</v>
          </cell>
          <cell r="E174" t="str">
            <v>TX. Mộc Châu</v>
          </cell>
          <cell r="F174">
            <v>173</v>
          </cell>
          <cell r="H174" t="str">
            <v>WMP</v>
          </cell>
          <cell r="I174" t="str">
            <v>VIETTEL</v>
          </cell>
        </row>
        <row r="175">
          <cell r="B175" t="str">
            <v>6154</v>
          </cell>
          <cell r="C175" t="str">
            <v>WM+ SLA 131 Tiểu khu Bệnh Viện</v>
          </cell>
          <cell r="D175" t="str">
            <v>T. Sơn La</v>
          </cell>
          <cell r="E175" t="str">
            <v>TX. Mộc Châu</v>
          </cell>
          <cell r="F175">
            <v>174</v>
          </cell>
          <cell r="H175" t="str">
            <v>WMP</v>
          </cell>
          <cell r="I175" t="str">
            <v>VIETTEL</v>
          </cell>
        </row>
        <row r="176">
          <cell r="B176" t="str">
            <v>2ADZ</v>
          </cell>
          <cell r="C176" t="str">
            <v>WM+ LCU Cầu Phà, Pa Tần</v>
          </cell>
          <cell r="D176" t="str">
            <v>T. Lai Châu</v>
          </cell>
          <cell r="E176" t="str">
            <v>H. Sìn Hồ</v>
          </cell>
          <cell r="F176">
            <v>175</v>
          </cell>
          <cell r="H176" t="str">
            <v>WMP</v>
          </cell>
          <cell r="I176" t="str">
            <v>VIETTEL</v>
          </cell>
        </row>
        <row r="177">
          <cell r="B177" t="str">
            <v>2BMT</v>
          </cell>
          <cell r="C177" t="str">
            <v>WM+ LCU 963 Lê Lợi</v>
          </cell>
          <cell r="D177" t="str">
            <v>T. Lai Châu</v>
          </cell>
          <cell r="E177" t="str">
            <v>H. Tân Uyên</v>
          </cell>
          <cell r="F177">
            <v>176</v>
          </cell>
          <cell r="H177" t="str">
            <v>WMP</v>
          </cell>
          <cell r="I177" t="str">
            <v>VIETTEL</v>
          </cell>
        </row>
        <row r="178">
          <cell r="B178" t="str">
            <v>2BEL</v>
          </cell>
          <cell r="C178" t="str">
            <v>WM+ LCU 616 Điện Biên Phủ</v>
          </cell>
          <cell r="D178" t="str">
            <v>T. Lai Châu</v>
          </cell>
          <cell r="E178" t="str">
            <v>H. Than Uyên</v>
          </cell>
          <cell r="F178">
            <v>177</v>
          </cell>
          <cell r="H178" t="str">
            <v>WMP</v>
          </cell>
          <cell r="I178" t="str">
            <v>VIETTEL</v>
          </cell>
        </row>
        <row r="179">
          <cell r="B179" t="str">
            <v>2AEA</v>
          </cell>
          <cell r="C179" t="str">
            <v>WM+ LCU Tây Sơn, Mường So</v>
          </cell>
          <cell r="D179" t="str">
            <v>T. Lai Châu</v>
          </cell>
          <cell r="E179" t="str">
            <v>H. Phong Thổ</v>
          </cell>
          <cell r="F179">
            <v>178</v>
          </cell>
          <cell r="H179" t="str">
            <v>WMP</v>
          </cell>
          <cell r="I179" t="str">
            <v>VIETTEL</v>
          </cell>
        </row>
        <row r="180">
          <cell r="B180" t="str">
            <v>6464</v>
          </cell>
          <cell r="C180" t="str">
            <v>WM+ LCU 56 Đường 30/04, Đông Phong</v>
          </cell>
          <cell r="D180" t="str">
            <v>T. Lai Châu</v>
          </cell>
          <cell r="E180" t="str">
            <v>TP. Lai Châu</v>
          </cell>
          <cell r="F180">
            <v>179</v>
          </cell>
          <cell r="H180" t="str">
            <v>WMP</v>
          </cell>
          <cell r="I180" t="str">
            <v>VIETTEL</v>
          </cell>
        </row>
        <row r="181">
          <cell r="B181" t="str">
            <v>6484</v>
          </cell>
          <cell r="C181" t="str">
            <v>WM+ LCU 91 Trần Phú</v>
          </cell>
          <cell r="D181" t="str">
            <v>T. Lai Châu</v>
          </cell>
          <cell r="E181" t="str">
            <v>TP. Lai Châu</v>
          </cell>
          <cell r="F181">
            <v>180</v>
          </cell>
          <cell r="H181" t="str">
            <v>WMP</v>
          </cell>
          <cell r="I181" t="str">
            <v>VIETTEL</v>
          </cell>
        </row>
        <row r="182">
          <cell r="B182" t="str">
            <v>6491</v>
          </cell>
          <cell r="C182" t="str">
            <v>WM+ LCU 306 Trần Hưng Đạo</v>
          </cell>
          <cell r="D182" t="str">
            <v>T. Lai Châu</v>
          </cell>
          <cell r="E182" t="str">
            <v>TP. Lai Châu</v>
          </cell>
          <cell r="F182">
            <v>181</v>
          </cell>
          <cell r="H182" t="str">
            <v>WMP</v>
          </cell>
          <cell r="I182" t="str">
            <v>VIETTEL</v>
          </cell>
        </row>
        <row r="183">
          <cell r="B183" t="str">
            <v>6620</v>
          </cell>
          <cell r="C183" t="str">
            <v>WM+ LCU 31 Hoàng Văn Thái</v>
          </cell>
          <cell r="D183" t="str">
            <v>T. Lai Châu</v>
          </cell>
          <cell r="E183" t="str">
            <v>TP. Lai Châu</v>
          </cell>
          <cell r="F183">
            <v>182</v>
          </cell>
          <cell r="H183" t="str">
            <v>WMP</v>
          </cell>
          <cell r="I183" t="str">
            <v>VIETTEL</v>
          </cell>
        </row>
        <row r="184">
          <cell r="B184" t="str">
            <v>2AJG</v>
          </cell>
          <cell r="C184" t="str">
            <v>WM+ LCU 99 Trần Hưng Đạo</v>
          </cell>
          <cell r="D184" t="str">
            <v>T. Lai Châu</v>
          </cell>
          <cell r="E184" t="str">
            <v>TP. Lai Châu</v>
          </cell>
          <cell r="F184">
            <v>183</v>
          </cell>
          <cell r="H184" t="str">
            <v>WMP</v>
          </cell>
          <cell r="I184" t="str">
            <v>VIETTEL</v>
          </cell>
        </row>
        <row r="185">
          <cell r="B185" t="str">
            <v>2ADQ</v>
          </cell>
          <cell r="C185" t="str">
            <v xml:space="preserve">WM+ LCU 260A Nguyễn Trãi </v>
          </cell>
          <cell r="D185" t="str">
            <v>T. Lai Châu</v>
          </cell>
          <cell r="E185" t="str">
            <v>TP. Lai Châu</v>
          </cell>
          <cell r="F185">
            <v>184</v>
          </cell>
          <cell r="H185" t="str">
            <v>WMP</v>
          </cell>
          <cell r="I185" t="str">
            <v>VIETTEL</v>
          </cell>
        </row>
        <row r="186">
          <cell r="B186" t="str">
            <v>1695</v>
          </cell>
          <cell r="C186" t="str">
            <v>WM LCU Lai Châu</v>
          </cell>
          <cell r="D186" t="str">
            <v>T. Lai Châu</v>
          </cell>
          <cell r="E186" t="str">
            <v>TP. Lai Châu</v>
          </cell>
          <cell r="F186">
            <v>185</v>
          </cell>
          <cell r="H186" t="str">
            <v>WMT</v>
          </cell>
          <cell r="I186" t="str">
            <v>VIETTEL</v>
          </cell>
        </row>
        <row r="187">
          <cell r="B187" t="str">
            <v>2ACF</v>
          </cell>
          <cell r="C187" t="str">
            <v>WM+ LCI 5A Phố Ràng</v>
          </cell>
          <cell r="D187" t="str">
            <v>T. Lào Cai</v>
          </cell>
          <cell r="E187" t="str">
            <v>H. Bảo Yên</v>
          </cell>
          <cell r="F187">
            <v>186</v>
          </cell>
          <cell r="H187" t="str">
            <v>WMP</v>
          </cell>
          <cell r="I187" t="str">
            <v>VTCO</v>
          </cell>
        </row>
        <row r="188">
          <cell r="B188" t="str">
            <v>2BAV</v>
          </cell>
          <cell r="C188" t="str">
            <v>WM+ LCI Tân Lợi, Gia Phú</v>
          </cell>
          <cell r="D188" t="str">
            <v>T. Lào Cai</v>
          </cell>
          <cell r="E188" t="str">
            <v>Xã Gia Phú</v>
          </cell>
          <cell r="F188">
            <v>187</v>
          </cell>
          <cell r="H188" t="str">
            <v>WMP</v>
          </cell>
          <cell r="I188" t="str">
            <v>VTCO</v>
          </cell>
        </row>
        <row r="189">
          <cell r="B189" t="str">
            <v>2BVR</v>
          </cell>
          <cell r="C189" t="str">
            <v>WM+ LCI 158-160 Quang Trung</v>
          </cell>
          <cell r="D189" t="str">
            <v>T. Lào Cai</v>
          </cell>
          <cell r="E189" t="str">
            <v>H. Văn Bàn</v>
          </cell>
          <cell r="F189">
            <v>188</v>
          </cell>
          <cell r="H189" t="str">
            <v>WMP</v>
          </cell>
          <cell r="I189" t="str">
            <v>VTCO</v>
          </cell>
        </row>
        <row r="190">
          <cell r="B190" t="str">
            <v>2ACC</v>
          </cell>
          <cell r="C190" t="str">
            <v>WM+ LCI Bản Phiệt, Bảo Thắng</v>
          </cell>
          <cell r="D190" t="str">
            <v>T. Lào Cai</v>
          </cell>
          <cell r="E190" t="str">
            <v>H. Bảo Thắng</v>
          </cell>
          <cell r="F190">
            <v>189</v>
          </cell>
          <cell r="H190" t="str">
            <v>WMP</v>
          </cell>
          <cell r="I190" t="str">
            <v>VTCO</v>
          </cell>
        </row>
        <row r="191">
          <cell r="B191" t="str">
            <v>6933</v>
          </cell>
          <cell r="C191" t="str">
            <v>WM+ LCI TDP 4, TT Tằng Lỏong</v>
          </cell>
          <cell r="D191" t="str">
            <v>T. Lào Cai</v>
          </cell>
          <cell r="E191" t="str">
            <v>H. Bảo Thắng</v>
          </cell>
          <cell r="F191">
            <v>190</v>
          </cell>
          <cell r="H191" t="str">
            <v>WMP</v>
          </cell>
          <cell r="I191" t="str">
            <v>VTCO</v>
          </cell>
        </row>
        <row r="192">
          <cell r="B192" t="str">
            <v>6313</v>
          </cell>
          <cell r="C192" t="str">
            <v>WM+ LCI 46 Đường 19-5, TT Phố Lu</v>
          </cell>
          <cell r="D192" t="str">
            <v>T. Lào Cai</v>
          </cell>
          <cell r="E192" t="str">
            <v>H. Bảo Thắng</v>
          </cell>
          <cell r="F192">
            <v>191</v>
          </cell>
          <cell r="H192" t="str">
            <v>WMP</v>
          </cell>
          <cell r="I192" t="str">
            <v>VTCO</v>
          </cell>
        </row>
        <row r="193">
          <cell r="B193" t="str">
            <v>2BMU</v>
          </cell>
          <cell r="C193" t="str">
            <v>WM+ LCI 137-139 Ngọc Uyển</v>
          </cell>
          <cell r="D193" t="str">
            <v>T. Lào Cai</v>
          </cell>
          <cell r="E193" t="str">
            <v>TT. Bắc Hà</v>
          </cell>
          <cell r="F193">
            <v>192</v>
          </cell>
          <cell r="H193" t="str">
            <v>WMP</v>
          </cell>
          <cell r="I193" t="str">
            <v>VTCO</v>
          </cell>
        </row>
        <row r="194">
          <cell r="B194" t="str">
            <v>5426</v>
          </cell>
          <cell r="C194" t="str">
            <v>WM+ LCI 050 Phan Đình Phùng</v>
          </cell>
          <cell r="D194" t="str">
            <v>T. Lào Cai</v>
          </cell>
          <cell r="E194" t="str">
            <v>TP. Lào Cai</v>
          </cell>
          <cell r="F194">
            <v>193</v>
          </cell>
          <cell r="H194" t="str">
            <v>WMP</v>
          </cell>
          <cell r="I194" t="str">
            <v>VTCO</v>
          </cell>
        </row>
        <row r="195">
          <cell r="B195" t="str">
            <v>6912</v>
          </cell>
          <cell r="C195" t="str">
            <v>WM+ LCI 102-104 Cốc Lếu</v>
          </cell>
          <cell r="D195" t="str">
            <v>T. Lào Cai</v>
          </cell>
          <cell r="E195" t="str">
            <v>TP. Lào Cai</v>
          </cell>
          <cell r="F195">
            <v>194</v>
          </cell>
          <cell r="H195" t="str">
            <v>WMP</v>
          </cell>
          <cell r="I195" t="str">
            <v>VTCO</v>
          </cell>
        </row>
        <row r="196">
          <cell r="B196" t="str">
            <v>5135</v>
          </cell>
          <cell r="C196" t="str">
            <v>WM+ LCI Số 003 Soi Tiền</v>
          </cell>
          <cell r="D196" t="str">
            <v>T. Lào Cai</v>
          </cell>
          <cell r="E196" t="str">
            <v>TP. Lào Cai</v>
          </cell>
          <cell r="F196">
            <v>195</v>
          </cell>
          <cell r="H196" t="str">
            <v>WMP</v>
          </cell>
          <cell r="I196" t="str">
            <v>VTCO</v>
          </cell>
        </row>
        <row r="197">
          <cell r="B197" t="str">
            <v>2AA6</v>
          </cell>
          <cell r="C197" t="str">
            <v>WM+ LCI 338 Hùng Vương</v>
          </cell>
          <cell r="D197" t="str">
            <v>T. Lào Cai</v>
          </cell>
          <cell r="E197" t="str">
            <v>TP. Lào Cai</v>
          </cell>
          <cell r="F197">
            <v>196</v>
          </cell>
          <cell r="H197" t="str">
            <v>WMP</v>
          </cell>
          <cell r="I197" t="str">
            <v>VTCO</v>
          </cell>
        </row>
        <row r="198">
          <cell r="B198" t="str">
            <v>5064</v>
          </cell>
          <cell r="C198" t="str">
            <v>WM+ LCI 085-086 Nhạc Sơn</v>
          </cell>
          <cell r="D198" t="str">
            <v>T. Lào Cai</v>
          </cell>
          <cell r="E198" t="str">
            <v>TP. Lào Cai</v>
          </cell>
          <cell r="F198">
            <v>197</v>
          </cell>
          <cell r="H198" t="str">
            <v>WMP</v>
          </cell>
          <cell r="I198" t="str">
            <v>VTCO</v>
          </cell>
        </row>
        <row r="199">
          <cell r="B199" t="str">
            <v>6320</v>
          </cell>
          <cell r="C199" t="str">
            <v>WM+ LCI 088 Nhạc Sơn</v>
          </cell>
          <cell r="D199" t="str">
            <v>T. Lào Cai</v>
          </cell>
          <cell r="E199" t="str">
            <v>TP. Lào Cai</v>
          </cell>
          <cell r="F199">
            <v>198</v>
          </cell>
          <cell r="H199" t="str">
            <v>WMP</v>
          </cell>
          <cell r="I199" t="str">
            <v>VTCO</v>
          </cell>
        </row>
        <row r="200">
          <cell r="B200" t="str">
            <v>5382</v>
          </cell>
          <cell r="C200" t="str">
            <v>WM+ LCI 030 Quy Hóa</v>
          </cell>
          <cell r="D200" t="str">
            <v>T. Lào Cai</v>
          </cell>
          <cell r="E200" t="str">
            <v>TP. Lào Cai</v>
          </cell>
          <cell r="F200">
            <v>199</v>
          </cell>
          <cell r="H200" t="str">
            <v>WMP</v>
          </cell>
          <cell r="I200" t="str">
            <v>VTCO</v>
          </cell>
        </row>
        <row r="201">
          <cell r="B201" t="str">
            <v>5001</v>
          </cell>
          <cell r="C201" t="str">
            <v>WM+ LCI Số 489 Ngô Quyền</v>
          </cell>
          <cell r="D201" t="str">
            <v>T. Lào Cai</v>
          </cell>
          <cell r="E201" t="str">
            <v>TP. Lào Cai</v>
          </cell>
          <cell r="F201">
            <v>200</v>
          </cell>
          <cell r="H201" t="str">
            <v>WMP</v>
          </cell>
          <cell r="I201" t="str">
            <v>VTCO</v>
          </cell>
        </row>
        <row r="202">
          <cell r="B202" t="str">
            <v>5381</v>
          </cell>
          <cell r="C202" t="str">
            <v>WM+ LCI 114 Hàm Nghi</v>
          </cell>
          <cell r="D202" t="str">
            <v>T. Lào Cai</v>
          </cell>
          <cell r="E202" t="str">
            <v>TP. Lào Cai</v>
          </cell>
          <cell r="F202">
            <v>201</v>
          </cell>
          <cell r="H202" t="str">
            <v>WMP</v>
          </cell>
          <cell r="I202" t="str">
            <v>VTCO</v>
          </cell>
        </row>
        <row r="203">
          <cell r="B203" t="str">
            <v>2AEW</v>
          </cell>
          <cell r="C203" t="str">
            <v>WM+ LCI Số 145 - 147 Nguyễn Huệ</v>
          </cell>
          <cell r="D203" t="str">
            <v>T. Lào Cai</v>
          </cell>
          <cell r="E203" t="str">
            <v>TP. Lào Cai</v>
          </cell>
          <cell r="F203">
            <v>202</v>
          </cell>
          <cell r="H203" t="str">
            <v>WMP</v>
          </cell>
          <cell r="I203" t="str">
            <v>VTCO</v>
          </cell>
        </row>
        <row r="204">
          <cell r="B204" t="str">
            <v>4965</v>
          </cell>
          <cell r="C204" t="str">
            <v>WM+ LCI 02-04 Võ Nguyên Giáp</v>
          </cell>
          <cell r="D204" t="str">
            <v>T. Lào Cai</v>
          </cell>
          <cell r="E204" t="str">
            <v>TP. Lào Cai</v>
          </cell>
          <cell r="F204">
            <v>203</v>
          </cell>
          <cell r="H204" t="str">
            <v>WMP</v>
          </cell>
          <cell r="I204" t="str">
            <v>VTCO</v>
          </cell>
        </row>
        <row r="205">
          <cell r="B205" t="str">
            <v>5057</v>
          </cell>
          <cell r="C205" t="str">
            <v>WM+ LCI 737 Lê Thanh</v>
          </cell>
          <cell r="D205" t="str">
            <v>T. Lào Cai</v>
          </cell>
          <cell r="E205" t="str">
            <v>TP. Lào Cai</v>
          </cell>
          <cell r="F205">
            <v>204</v>
          </cell>
          <cell r="H205" t="str">
            <v>WMP</v>
          </cell>
          <cell r="I205" t="str">
            <v>VTCO</v>
          </cell>
        </row>
        <row r="206">
          <cell r="B206" t="str">
            <v>5778</v>
          </cell>
          <cell r="C206" t="str">
            <v>WM+ LCI 750 Hoàng Quốc Việt</v>
          </cell>
          <cell r="D206" t="str">
            <v>T. Lào Cai</v>
          </cell>
          <cell r="E206" t="str">
            <v>TP. Lào Cai</v>
          </cell>
          <cell r="F206">
            <v>205</v>
          </cell>
          <cell r="H206" t="str">
            <v>WMP</v>
          </cell>
          <cell r="I206" t="str">
            <v>VTCO</v>
          </cell>
        </row>
        <row r="207">
          <cell r="B207" t="str">
            <v>2ABP</v>
          </cell>
          <cell r="C207" t="str">
            <v>WM+ LCI 028 Lương Định Của</v>
          </cell>
          <cell r="D207" t="str">
            <v>T. Lào Cai</v>
          </cell>
          <cell r="E207" t="str">
            <v>TX. Sapa</v>
          </cell>
          <cell r="F207">
            <v>206</v>
          </cell>
          <cell r="H207" t="str">
            <v>WMP</v>
          </cell>
          <cell r="I207" t="str">
            <v>VTCO</v>
          </cell>
        </row>
        <row r="208">
          <cell r="B208" t="str">
            <v>2BQ5</v>
          </cell>
          <cell r="C208" t="str">
            <v>WM+ TQG 118 Trần Hưng Đạo</v>
          </cell>
          <cell r="D208" t="str">
            <v>T. Hà Giang</v>
          </cell>
          <cell r="E208" t="str">
            <v>H. Yên Minh</v>
          </cell>
          <cell r="F208">
            <v>207</v>
          </cell>
          <cell r="H208" t="str">
            <v>WMP</v>
          </cell>
          <cell r="I208" t="str">
            <v>SAFEFAST</v>
          </cell>
        </row>
        <row r="209">
          <cell r="B209" t="str">
            <v>2CKW</v>
          </cell>
          <cell r="C209" t="str">
            <v>WM+ TQG Thôn 6, Xã Yên Minh</v>
          </cell>
          <cell r="D209" t="str">
            <v>T. Hà Giang</v>
          </cell>
          <cell r="E209" t="str">
            <v>H. Yên Minh</v>
          </cell>
          <cell r="F209">
            <v>208</v>
          </cell>
          <cell r="I209" t="str">
            <v>SAFEFAST</v>
          </cell>
        </row>
        <row r="210">
          <cell r="B210" t="str">
            <v>2ADU</v>
          </cell>
          <cell r="C210" t="str">
            <v>WM+ HGG Nguyễn Du, Mèo Vạc</v>
          </cell>
          <cell r="D210" t="str">
            <v>T. Hà Giang</v>
          </cell>
          <cell r="E210" t="str">
            <v>H. Mèo Vạc</v>
          </cell>
          <cell r="F210">
            <v>209</v>
          </cell>
          <cell r="H210" t="str">
            <v>WMP</v>
          </cell>
          <cell r="I210" t="str">
            <v>SAFEFAST</v>
          </cell>
        </row>
        <row r="211">
          <cell r="B211" t="str">
            <v>2CMH</v>
          </cell>
          <cell r="C211" t="str">
            <v>WM+HGG Nguyễn Du, Mèo Vạc</v>
          </cell>
          <cell r="D211" t="str">
            <v>T. Hà Giang</v>
          </cell>
          <cell r="E211" t="str">
            <v>H. Mèo Vạc</v>
          </cell>
          <cell r="F211">
            <v>210</v>
          </cell>
          <cell r="H211" t="str">
            <v>WMP</v>
          </cell>
          <cell r="I211" t="str">
            <v>SAFEFAST</v>
          </cell>
        </row>
        <row r="212">
          <cell r="B212" t="str">
            <v>2AJD</v>
          </cell>
          <cell r="C212" t="str">
            <v>WM+ HGG Chợ Bắc Mê</v>
          </cell>
          <cell r="D212" t="str">
            <v>T. Hà Giang</v>
          </cell>
          <cell r="E212" t="str">
            <v>H. Bắc Mê</v>
          </cell>
          <cell r="F212">
            <v>211</v>
          </cell>
          <cell r="H212" t="str">
            <v>WMP</v>
          </cell>
          <cell r="I212" t="str">
            <v>SAFEFAST</v>
          </cell>
        </row>
        <row r="213">
          <cell r="B213" t="str">
            <v>5133</v>
          </cell>
          <cell r="C213" t="str">
            <v>WM+ HGG Số 288 Trần Phú</v>
          </cell>
          <cell r="D213" t="str">
            <v>T. Hà Giang</v>
          </cell>
          <cell r="E213" t="str">
            <v>TP. Hà Giang</v>
          </cell>
          <cell r="F213">
            <v>212</v>
          </cell>
          <cell r="H213" t="str">
            <v>WMP</v>
          </cell>
          <cell r="I213" t="str">
            <v>SAFEFAST</v>
          </cell>
        </row>
        <row r="214">
          <cell r="B214" t="str">
            <v>5701</v>
          </cell>
          <cell r="C214" t="str">
            <v>WM+ HGG 395 Nguyễn Thái Học</v>
          </cell>
          <cell r="D214" t="str">
            <v>T. Hà Giang</v>
          </cell>
          <cell r="E214" t="str">
            <v>TP. Hà Giang</v>
          </cell>
          <cell r="F214">
            <v>213</v>
          </cell>
          <cell r="H214" t="str">
            <v>WMP</v>
          </cell>
          <cell r="I214" t="str">
            <v>SAFEFAST</v>
          </cell>
        </row>
        <row r="215">
          <cell r="B215" t="str">
            <v>5223</v>
          </cell>
          <cell r="C215" t="str">
            <v>WM+ HGG 35 An Cư</v>
          </cell>
          <cell r="D215" t="str">
            <v>T. Hà Giang</v>
          </cell>
          <cell r="E215" t="str">
            <v>TP. Hà Giang</v>
          </cell>
          <cell r="F215">
            <v>214</v>
          </cell>
          <cell r="H215" t="str">
            <v>WMP</v>
          </cell>
          <cell r="I215" t="str">
            <v>SAFEFAST</v>
          </cell>
        </row>
        <row r="216">
          <cell r="B216" t="str">
            <v>5946</v>
          </cell>
          <cell r="C216" t="str">
            <v>WM+ HGG 02 Kim Đồng</v>
          </cell>
          <cell r="D216" t="str">
            <v>T. Hà Giang</v>
          </cell>
          <cell r="E216" t="str">
            <v>TP. Hà Giang</v>
          </cell>
          <cell r="F216">
            <v>215</v>
          </cell>
          <cell r="H216" t="str">
            <v>WMP</v>
          </cell>
          <cell r="I216" t="str">
            <v>SAFEFAST</v>
          </cell>
        </row>
        <row r="217">
          <cell r="B217" t="str">
            <v>5206</v>
          </cell>
          <cell r="C217" t="str">
            <v>WM+ HGG 50 Trần Phú</v>
          </cell>
          <cell r="D217" t="str">
            <v>T. Hà Giang</v>
          </cell>
          <cell r="E217" t="str">
            <v>TP. Hà Giang</v>
          </cell>
          <cell r="F217">
            <v>216</v>
          </cell>
          <cell r="H217" t="str">
            <v>WMP</v>
          </cell>
          <cell r="I217" t="str">
            <v>SAFEFAST</v>
          </cell>
        </row>
        <row r="218">
          <cell r="B218" t="str">
            <v>5205</v>
          </cell>
          <cell r="C218" t="str">
            <v>WM+ HGG 89 Nguyễn Thái Học</v>
          </cell>
          <cell r="D218" t="str">
            <v>T. Hà Giang</v>
          </cell>
          <cell r="E218" t="str">
            <v>TP. Hà Giang</v>
          </cell>
          <cell r="F218">
            <v>217</v>
          </cell>
          <cell r="H218" t="str">
            <v>WMP</v>
          </cell>
          <cell r="I218" t="str">
            <v>SAFEFAST</v>
          </cell>
        </row>
        <row r="219">
          <cell r="B219" t="str">
            <v>5688</v>
          </cell>
          <cell r="C219" t="str">
            <v>WM+ HGG 504 Lý Thường Kiệt</v>
          </cell>
          <cell r="D219" t="str">
            <v>T. Hà Giang</v>
          </cell>
          <cell r="E219" t="str">
            <v>TP. Hà Giang</v>
          </cell>
          <cell r="F219">
            <v>218</v>
          </cell>
          <cell r="H219" t="str">
            <v>WMP</v>
          </cell>
          <cell r="I219" t="str">
            <v>SAFEFAST</v>
          </cell>
        </row>
        <row r="220">
          <cell r="B220" t="str">
            <v>5134</v>
          </cell>
          <cell r="C220" t="str">
            <v>WM+ HGG Số 65 Nguyễn Văn Linh</v>
          </cell>
          <cell r="D220" t="str">
            <v>T. Hà Giang</v>
          </cell>
          <cell r="E220" t="str">
            <v>TP. Hà Giang</v>
          </cell>
          <cell r="F220">
            <v>219</v>
          </cell>
          <cell r="H220" t="str">
            <v>WMP</v>
          </cell>
          <cell r="I220" t="str">
            <v>SAFEFAST</v>
          </cell>
        </row>
        <row r="221">
          <cell r="B221" t="str">
            <v>5471</v>
          </cell>
          <cell r="C221" t="str">
            <v>WM+ HGG 43-45 Đường 20-8</v>
          </cell>
          <cell r="D221" t="str">
            <v>T. Hà Giang</v>
          </cell>
          <cell r="E221" t="str">
            <v>TP. Hà Giang</v>
          </cell>
          <cell r="F221">
            <v>220</v>
          </cell>
          <cell r="H221" t="str">
            <v>WMP</v>
          </cell>
          <cell r="I221" t="str">
            <v>SAFEFAST</v>
          </cell>
        </row>
        <row r="222">
          <cell r="B222" t="str">
            <v>5188</v>
          </cell>
          <cell r="C222" t="str">
            <v>WM+ HGG 469 Nguyễn Trãi</v>
          </cell>
          <cell r="D222" t="str">
            <v>T. Hà Giang</v>
          </cell>
          <cell r="E222" t="str">
            <v>TP. Hà Giang</v>
          </cell>
          <cell r="F222">
            <v>221</v>
          </cell>
          <cell r="H222" t="str">
            <v>WMP</v>
          </cell>
          <cell r="I222" t="str">
            <v>SAFEFAST</v>
          </cell>
        </row>
        <row r="223">
          <cell r="B223" t="str">
            <v>5371</v>
          </cell>
          <cell r="C223" t="str">
            <v>WM+ HGG 178 Đường Nguyễn Trãi</v>
          </cell>
          <cell r="D223" t="str">
            <v>T. Hà Giang</v>
          </cell>
          <cell r="E223" t="str">
            <v>TP. Hà Giang</v>
          </cell>
          <cell r="F223">
            <v>222</v>
          </cell>
          <cell r="H223" t="str">
            <v>WMP</v>
          </cell>
          <cell r="I223" t="str">
            <v>SAFEFAST</v>
          </cell>
        </row>
        <row r="224">
          <cell r="B224" t="str">
            <v>5754</v>
          </cell>
          <cell r="C224" t="str">
            <v>WM+ HGG Tổ 1 Đường Nguyễn Trãi, TT Vị Xuyên</v>
          </cell>
          <cell r="D224" t="str">
            <v>T. Hà Giang</v>
          </cell>
          <cell r="E224" t="str">
            <v>H. Vị Xuyên</v>
          </cell>
          <cell r="F224">
            <v>223</v>
          </cell>
          <cell r="H224" t="str">
            <v>WMP</v>
          </cell>
          <cell r="I224" t="str">
            <v>SAFEFAST</v>
          </cell>
        </row>
        <row r="225">
          <cell r="B225" t="str">
            <v>5828</v>
          </cell>
          <cell r="C225" t="str">
            <v>WM+ HGG Tổ 8 Vị Xuyên</v>
          </cell>
          <cell r="D225" t="str">
            <v>T. Hà Giang</v>
          </cell>
          <cell r="E225" t="str">
            <v>H. Vị Xuyên</v>
          </cell>
          <cell r="F225">
            <v>224</v>
          </cell>
          <cell r="H225" t="str">
            <v>WMP</v>
          </cell>
          <cell r="I225" t="str">
            <v>SAFEFAST</v>
          </cell>
        </row>
        <row r="226">
          <cell r="B226" t="str">
            <v>2ABX</v>
          </cell>
          <cell r="C226" t="str">
            <v>WM+ HGG Tổ 6 Việt Lâm</v>
          </cell>
          <cell r="D226" t="str">
            <v>T. Hà Giang</v>
          </cell>
          <cell r="E226" t="str">
            <v>H. Vị Xuyên</v>
          </cell>
          <cell r="F226">
            <v>225</v>
          </cell>
          <cell r="H226" t="str">
            <v>WMP</v>
          </cell>
          <cell r="I226" t="str">
            <v>SAFEFAST</v>
          </cell>
        </row>
        <row r="227">
          <cell r="B227" t="str">
            <v>2ADE</v>
          </cell>
          <cell r="C227" t="str">
            <v>WM+ HGG Thôn Vạt, Việt Lâm</v>
          </cell>
          <cell r="D227" t="str">
            <v>T. Hà Giang</v>
          </cell>
          <cell r="E227" t="str">
            <v>H. Vị Xuyên</v>
          </cell>
          <cell r="F227">
            <v>226</v>
          </cell>
          <cell r="H227" t="str">
            <v>WMP</v>
          </cell>
          <cell r="I227" t="str">
            <v>SAFEFAST</v>
          </cell>
        </row>
        <row r="228">
          <cell r="B228" t="str">
            <v>6864</v>
          </cell>
          <cell r="C228" t="str">
            <v>WM+ HGG Vinh Quang, Bắc Quang</v>
          </cell>
          <cell r="D228" t="str">
            <v>T. Hà Giang</v>
          </cell>
          <cell r="E228" t="str">
            <v>H. Bắc Quang</v>
          </cell>
          <cell r="F228">
            <v>227</v>
          </cell>
          <cell r="H228" t="str">
            <v>WMP</v>
          </cell>
          <cell r="I228" t="str">
            <v>SAFEFAST</v>
          </cell>
        </row>
        <row r="229">
          <cell r="B229" t="str">
            <v>5735</v>
          </cell>
          <cell r="C229" t="str">
            <v>WM+ HGG 159 Trường Chinh, Bắc Quang</v>
          </cell>
          <cell r="D229" t="str">
            <v>T. Hà Giang</v>
          </cell>
          <cell r="E229" t="str">
            <v>H. Bắc Quang</v>
          </cell>
          <cell r="F229">
            <v>228</v>
          </cell>
          <cell r="H229" t="str">
            <v>WMP</v>
          </cell>
          <cell r="I229" t="str">
            <v>SAFEFAST</v>
          </cell>
        </row>
        <row r="230">
          <cell r="B230" t="str">
            <v>6237</v>
          </cell>
          <cell r="C230" t="str">
            <v>WM+ HGG 16B Tổ 12 TT Việt Quang</v>
          </cell>
          <cell r="D230" t="str">
            <v>T. Hà Giang</v>
          </cell>
          <cell r="E230" t="str">
            <v>H. Bắc Quang</v>
          </cell>
          <cell r="F230">
            <v>229</v>
          </cell>
          <cell r="H230" t="str">
            <v>WMP</v>
          </cell>
          <cell r="I230" t="str">
            <v>SAFEFAST</v>
          </cell>
        </row>
        <row r="231">
          <cell r="B231" t="str">
            <v>2BEH</v>
          </cell>
          <cell r="C231" t="str">
            <v>WM+ TQG Thôn 4, Bắc Quang</v>
          </cell>
          <cell r="D231" t="str">
            <v>T. Hà Giang</v>
          </cell>
          <cell r="E231" t="str">
            <v>H. Bắc Quang</v>
          </cell>
          <cell r="F231">
            <v>230</v>
          </cell>
          <cell r="H231" t="str">
            <v>WMP</v>
          </cell>
          <cell r="I231" t="str">
            <v>SAFEFAST</v>
          </cell>
        </row>
        <row r="232">
          <cell r="B232" t="str">
            <v>5708</v>
          </cell>
          <cell r="C232" t="str">
            <v>WM+ HGG 857A Trường Chinh, Bắc Quang</v>
          </cell>
          <cell r="D232" t="str">
            <v>T. Hà Giang</v>
          </cell>
          <cell r="E232" t="str">
            <v>H. Bắc Quang</v>
          </cell>
          <cell r="F232">
            <v>231</v>
          </cell>
          <cell r="H232" t="str">
            <v>WMP</v>
          </cell>
          <cell r="I232" t="str">
            <v>SAFEFAST</v>
          </cell>
        </row>
        <row r="233">
          <cell r="B233" t="str">
            <v>5829</v>
          </cell>
          <cell r="C233" t="str">
            <v>WM+ HGG 1157 Trường Chinh</v>
          </cell>
          <cell r="D233" t="str">
            <v>T. Hà Giang</v>
          </cell>
          <cell r="E233" t="str">
            <v>H. Bắc Quang</v>
          </cell>
          <cell r="F233">
            <v>232</v>
          </cell>
          <cell r="H233" t="str">
            <v>WMP</v>
          </cell>
          <cell r="I233" t="str">
            <v>SAFEFAST</v>
          </cell>
        </row>
        <row r="234">
          <cell r="B234" t="str">
            <v>2BKH</v>
          </cell>
          <cell r="C234" t="str">
            <v>WM+ TQG An Tiến, Hùng An</v>
          </cell>
          <cell r="D234" t="str">
            <v>T. Hà Giang</v>
          </cell>
          <cell r="E234" t="str">
            <v>H. Bắc Quang</v>
          </cell>
          <cell r="F234">
            <v>233</v>
          </cell>
          <cell r="H234" t="str">
            <v>WMP</v>
          </cell>
          <cell r="I234" t="str">
            <v>SAFEFAST</v>
          </cell>
        </row>
        <row r="235">
          <cell r="B235" t="str">
            <v>2CFP</v>
          </cell>
          <cell r="C235" t="str">
            <v>WM+ TQG 225 Phố Mới, Vĩnh Tuy</v>
          </cell>
          <cell r="D235" t="str">
            <v>T. Hà Giang</v>
          </cell>
          <cell r="E235" t="str">
            <v>H. Bắc Quang</v>
          </cell>
          <cell r="F235">
            <v>234</v>
          </cell>
          <cell r="H235" t="str">
            <v>WMP</v>
          </cell>
          <cell r="I235" t="str">
            <v>SAFEFAST</v>
          </cell>
        </row>
        <row r="236">
          <cell r="B236" t="str">
            <v>2ANC</v>
          </cell>
          <cell r="C236" t="str">
            <v>WM+ PTO Khu 21, Vạn Xuân</v>
          </cell>
          <cell r="D236" t="str">
            <v>T. Phú Thọ</v>
          </cell>
          <cell r="E236" t="str">
            <v>H. Tam Nông</v>
          </cell>
          <cell r="F236">
            <v>235</v>
          </cell>
          <cell r="H236" t="str">
            <v>WMP</v>
          </cell>
          <cell r="I236" t="str">
            <v>GHN</v>
          </cell>
        </row>
        <row r="237">
          <cell r="B237" t="str">
            <v>5891</v>
          </cell>
          <cell r="C237" t="str">
            <v>WM+ PTO Khu 23 Vạn Xuân</v>
          </cell>
          <cell r="D237" t="str">
            <v>T. Phú Thọ</v>
          </cell>
          <cell r="E237" t="str">
            <v>H. Tam Nông</v>
          </cell>
          <cell r="F237">
            <v>236</v>
          </cell>
          <cell r="H237" t="str">
            <v>WMP</v>
          </cell>
          <cell r="I237" t="str">
            <v>GHN</v>
          </cell>
        </row>
        <row r="238">
          <cell r="B238" t="str">
            <v>6871</v>
          </cell>
          <cell r="C238" t="str">
            <v>WM+ PTO TT Hưng Hóa, Tam Nông</v>
          </cell>
          <cell r="D238" t="str">
            <v>T. Phú Thọ</v>
          </cell>
          <cell r="E238" t="str">
            <v>H. Tam Nông</v>
          </cell>
          <cell r="F238">
            <v>237</v>
          </cell>
          <cell r="H238" t="str">
            <v>WMP</v>
          </cell>
          <cell r="I238" t="str">
            <v>GHN</v>
          </cell>
        </row>
        <row r="239">
          <cell r="B239" t="str">
            <v>2BVB</v>
          </cell>
          <cell r="C239" t="str">
            <v>WM+ PTO Khu 9, Tam Nông</v>
          </cell>
          <cell r="D239" t="str">
            <v>T. Phú Thọ</v>
          </cell>
          <cell r="E239" t="str">
            <v>H. Tam Nông</v>
          </cell>
          <cell r="F239">
            <v>238</v>
          </cell>
          <cell r="I239" t="str">
            <v>GHN</v>
          </cell>
        </row>
        <row r="240">
          <cell r="B240" t="str">
            <v>2AFF</v>
          </cell>
          <cell r="C240" t="str">
            <v>WM+ PTO Khu 5, Xuân Lộc</v>
          </cell>
          <cell r="D240" t="str">
            <v>T. Phú Thọ</v>
          </cell>
          <cell r="E240" t="str">
            <v>H. Thanh Thủy</v>
          </cell>
          <cell r="F240">
            <v>239</v>
          </cell>
          <cell r="H240" t="str">
            <v>WMP</v>
          </cell>
          <cell r="I240" t="str">
            <v>GHN</v>
          </cell>
        </row>
        <row r="241">
          <cell r="B241" t="str">
            <v>2AIU</v>
          </cell>
          <cell r="C241" t="str">
            <v>WM+ PTO Khu 14, Đào Xá</v>
          </cell>
          <cell r="D241" t="str">
            <v>T. Phú Thọ</v>
          </cell>
          <cell r="E241" t="str">
            <v>H. Thanh Thủy</v>
          </cell>
          <cell r="F241">
            <v>240</v>
          </cell>
          <cell r="H241" t="str">
            <v>WMP</v>
          </cell>
          <cell r="I241" t="str">
            <v>GHN</v>
          </cell>
        </row>
        <row r="242">
          <cell r="B242" t="str">
            <v>2APX</v>
          </cell>
          <cell r="C242" t="str">
            <v>WM+ PTO Khu Phố, TT Thanh Thủy</v>
          </cell>
          <cell r="D242" t="str">
            <v>T. Phú Thọ</v>
          </cell>
          <cell r="E242" t="str">
            <v>H. Thanh Thủy</v>
          </cell>
          <cell r="F242">
            <v>241</v>
          </cell>
          <cell r="H242" t="str">
            <v>WMP</v>
          </cell>
          <cell r="I242" t="str">
            <v>GHN</v>
          </cell>
        </row>
        <row r="243">
          <cell r="B243" t="str">
            <v>2ALI</v>
          </cell>
          <cell r="C243" t="str">
            <v>WM+ PTO Khu 1, Bảo Yên</v>
          </cell>
          <cell r="D243" t="str">
            <v>T. Phú Thọ</v>
          </cell>
          <cell r="E243" t="str">
            <v>H. Thanh Thủy</v>
          </cell>
          <cell r="F243">
            <v>242</v>
          </cell>
          <cell r="H243" t="str">
            <v>WMP</v>
          </cell>
          <cell r="I243" t="str">
            <v>GHN</v>
          </cell>
        </row>
        <row r="244">
          <cell r="B244" t="str">
            <v>2BO6</v>
          </cell>
          <cell r="C244" t="str">
            <v>WM+ PTO Khu 11, Tu Vũ</v>
          </cell>
          <cell r="D244" t="str">
            <v>T. Phú Thọ</v>
          </cell>
          <cell r="E244" t="str">
            <v>H. Thanh Thủy</v>
          </cell>
          <cell r="F244">
            <v>243</v>
          </cell>
          <cell r="H244" t="str">
            <v>WMP</v>
          </cell>
          <cell r="I244" t="str">
            <v>GHN</v>
          </cell>
        </row>
        <row r="245">
          <cell r="B245" t="str">
            <v>2BWV</v>
          </cell>
          <cell r="C245" t="str">
            <v>WM+ PTO Khu 2, Tu Vũ</v>
          </cell>
          <cell r="D245" t="str">
            <v>T. Phú Thọ</v>
          </cell>
          <cell r="E245" t="str">
            <v>H. Thanh Thủy</v>
          </cell>
          <cell r="F245">
            <v>244</v>
          </cell>
          <cell r="H245" t="str">
            <v>WMP</v>
          </cell>
          <cell r="I245" t="str">
            <v>GHN</v>
          </cell>
        </row>
        <row r="246">
          <cell r="B246" t="str">
            <v>2AKU</v>
          </cell>
          <cell r="C246" t="str">
            <v>WM+ PTO Khu 4, Đoan Hạ</v>
          </cell>
          <cell r="D246" t="str">
            <v>T. Phú Thọ</v>
          </cell>
          <cell r="E246" t="str">
            <v>H. Thanh Thủy</v>
          </cell>
          <cell r="F246">
            <v>245</v>
          </cell>
          <cell r="H246" t="str">
            <v>WMP</v>
          </cell>
          <cell r="I246" t="str">
            <v>GHN</v>
          </cell>
        </row>
        <row r="247">
          <cell r="B247" t="str">
            <v>6178</v>
          </cell>
          <cell r="C247" t="str">
            <v>WM+ PTO Khu 22 Hoàng Xá</v>
          </cell>
          <cell r="D247" t="str">
            <v>T. Phú Thọ</v>
          </cell>
          <cell r="E247" t="str">
            <v>H. Thanh Thủy</v>
          </cell>
          <cell r="F247">
            <v>246</v>
          </cell>
          <cell r="H247" t="str">
            <v>WMP</v>
          </cell>
          <cell r="I247" t="str">
            <v>GHN</v>
          </cell>
        </row>
        <row r="248">
          <cell r="B248" t="str">
            <v>2BY6</v>
          </cell>
          <cell r="C248" t="str">
            <v>WM+ PTO Khu 3, Thanh Thủy</v>
          </cell>
          <cell r="D248" t="str">
            <v>T. Phú Thọ</v>
          </cell>
          <cell r="E248" t="str">
            <v>H. Thanh Thủy</v>
          </cell>
          <cell r="F248">
            <v>247</v>
          </cell>
          <cell r="H248" t="str">
            <v>WMP</v>
          </cell>
          <cell r="I248" t="str">
            <v>GHN</v>
          </cell>
        </row>
        <row r="249">
          <cell r="B249" t="str">
            <v>2BU7</v>
          </cell>
          <cell r="C249" t="str">
            <v>WM+ PTO Quyết Tiến, Cự Đồng</v>
          </cell>
          <cell r="D249" t="str">
            <v>T. Phú Thọ</v>
          </cell>
          <cell r="E249" t="str">
            <v>H. Thanh Thủy</v>
          </cell>
          <cell r="F249">
            <v>248</v>
          </cell>
          <cell r="H249" t="str">
            <v>WMP</v>
          </cell>
          <cell r="I249" t="str">
            <v>GHN</v>
          </cell>
        </row>
        <row r="250">
          <cell r="B250" t="str">
            <v>2ALC</v>
          </cell>
          <cell r="C250" t="str">
            <v>WM+ PTO Tân Hương, Hương Cần</v>
          </cell>
          <cell r="D250" t="str">
            <v>T. Phú Thọ</v>
          </cell>
          <cell r="E250" t="str">
            <v>H. Thanh Thủy</v>
          </cell>
          <cell r="F250">
            <v>249</v>
          </cell>
          <cell r="H250" t="str">
            <v>WMP</v>
          </cell>
          <cell r="I250" t="str">
            <v>GHN</v>
          </cell>
        </row>
        <row r="251">
          <cell r="B251" t="str">
            <v>2BDE</v>
          </cell>
          <cell r="C251" t="str">
            <v>WM+ PTO Đề Ngữ, Yên Sơn</v>
          </cell>
          <cell r="D251" t="str">
            <v>T. Phú Thọ</v>
          </cell>
          <cell r="E251" t="str">
            <v>H. Thanh Sơn</v>
          </cell>
          <cell r="F251">
            <v>250</v>
          </cell>
          <cell r="H251" t="str">
            <v>WMP</v>
          </cell>
          <cell r="I251" t="str">
            <v>GHN</v>
          </cell>
        </row>
        <row r="252">
          <cell r="B252" t="str">
            <v>2ASC</v>
          </cell>
          <cell r="C252" t="str">
            <v>WM+ PTO Xóm Dẹ 1, Văn Miếu</v>
          </cell>
          <cell r="D252" t="str">
            <v>T. Phú Thọ</v>
          </cell>
          <cell r="E252" t="str">
            <v>H. Thanh Sơn</v>
          </cell>
          <cell r="F252">
            <v>251</v>
          </cell>
          <cell r="H252" t="str">
            <v>WMP</v>
          </cell>
          <cell r="I252" t="str">
            <v>GHN</v>
          </cell>
        </row>
        <row r="253">
          <cell r="B253" t="str">
            <v>2BHV</v>
          </cell>
          <cell r="C253" t="str">
            <v>WM+ PTO Đống Cả, Xuân Đài</v>
          </cell>
          <cell r="D253" t="str">
            <v>T. Phú Thọ</v>
          </cell>
          <cell r="E253" t="str">
            <v>H. Thanh Sơn</v>
          </cell>
          <cell r="F253">
            <v>252</v>
          </cell>
          <cell r="H253" t="str">
            <v>WMP</v>
          </cell>
          <cell r="I253" t="str">
            <v>GHN</v>
          </cell>
        </row>
        <row r="254">
          <cell r="B254" t="str">
            <v>2AMP</v>
          </cell>
          <cell r="C254" t="str">
            <v>WM+ PTO 28 Phố Vàng</v>
          </cell>
          <cell r="D254" t="str">
            <v>T. Phú Thọ</v>
          </cell>
          <cell r="E254" t="str">
            <v>H. Thanh Sơn</v>
          </cell>
          <cell r="F254">
            <v>253</v>
          </cell>
          <cell r="H254" t="str">
            <v>WMP</v>
          </cell>
          <cell r="I254" t="str">
            <v>GHN</v>
          </cell>
        </row>
        <row r="255">
          <cell r="B255" t="str">
            <v>6240</v>
          </cell>
          <cell r="C255" t="str">
            <v>WM+ PTO Hùng Nhĩ, Thanh Sơn</v>
          </cell>
          <cell r="D255" t="str">
            <v>T. Phú Thọ</v>
          </cell>
          <cell r="E255" t="str">
            <v>H. Thanh Sơn</v>
          </cell>
          <cell r="F255">
            <v>254</v>
          </cell>
          <cell r="H255" t="str">
            <v>WMP</v>
          </cell>
          <cell r="I255" t="str">
            <v>GHN</v>
          </cell>
        </row>
        <row r="256">
          <cell r="B256" t="str">
            <v>2CGU</v>
          </cell>
          <cell r="C256" t="str">
            <v>WM+ PTO Khu Tân Quang, Thanh Sơn</v>
          </cell>
          <cell r="D256" t="str">
            <v>T. Phú Thọ</v>
          </cell>
          <cell r="E256" t="str">
            <v>H. Thanh Sơn</v>
          </cell>
          <cell r="F256">
            <v>255</v>
          </cell>
          <cell r="I256" t="str">
            <v>GHN</v>
          </cell>
        </row>
        <row r="257">
          <cell r="B257" t="str">
            <v>6090</v>
          </cell>
          <cell r="C257" t="str">
            <v>WM+ PTO 191B Ba Mỏ</v>
          </cell>
          <cell r="D257" t="str">
            <v>T. Phú Thọ</v>
          </cell>
          <cell r="E257" t="str">
            <v>H. Thanh Sơn</v>
          </cell>
          <cell r="F257">
            <v>256</v>
          </cell>
          <cell r="H257" t="str">
            <v>WMP</v>
          </cell>
          <cell r="I257" t="str">
            <v>GHN</v>
          </cell>
        </row>
        <row r="258">
          <cell r="B258" t="str">
            <v>2BW1</v>
          </cell>
          <cell r="C258" t="str">
            <v>WM+ PTO Khu 13, Minh Hòa</v>
          </cell>
          <cell r="D258" t="str">
            <v>T. Phú Thọ</v>
          </cell>
          <cell r="E258" t="str">
            <v>H. Yên Lập</v>
          </cell>
          <cell r="F258">
            <v>257</v>
          </cell>
          <cell r="H258" t="str">
            <v>WMP</v>
          </cell>
          <cell r="I258" t="str">
            <v>GHN</v>
          </cell>
        </row>
        <row r="259">
          <cell r="B259" t="str">
            <v>2B73</v>
          </cell>
          <cell r="C259" t="str">
            <v>WM+ PTO Đồng Ve, Sơn Lương</v>
          </cell>
          <cell r="D259" t="str">
            <v>T. Phú Thọ</v>
          </cell>
          <cell r="E259" t="str">
            <v>H. Yên Lập</v>
          </cell>
          <cell r="F259">
            <v>258</v>
          </cell>
          <cell r="H259" t="str">
            <v>WMP</v>
          </cell>
          <cell r="I259" t="str">
            <v>GHN</v>
          </cell>
        </row>
        <row r="260">
          <cell r="B260" t="str">
            <v>2AQB</v>
          </cell>
          <cell r="C260" t="str">
            <v>WM+ PTO Khu Trung Tâm, Lương Sơn</v>
          </cell>
          <cell r="D260" t="str">
            <v>T. Phú Thọ</v>
          </cell>
          <cell r="E260" t="str">
            <v>H. Yên Lập</v>
          </cell>
          <cell r="F260">
            <v>259</v>
          </cell>
          <cell r="H260" t="str">
            <v>WMP</v>
          </cell>
          <cell r="I260" t="str">
            <v>GHN</v>
          </cell>
        </row>
        <row r="261">
          <cell r="B261" t="str">
            <v>6364</v>
          </cell>
          <cell r="C261" t="str">
            <v>WM+ PTO Tân An 4, Yên Lập</v>
          </cell>
          <cell r="D261" t="str">
            <v>T. Phú Thọ</v>
          </cell>
          <cell r="E261" t="str">
            <v>H. Yên Lập</v>
          </cell>
          <cell r="F261">
            <v>260</v>
          </cell>
          <cell r="H261" t="str">
            <v>WMP</v>
          </cell>
          <cell r="I261" t="str">
            <v>GHN</v>
          </cell>
        </row>
        <row r="262">
          <cell r="B262" t="str">
            <v>2BBN</v>
          </cell>
          <cell r="C262" t="str">
            <v>WM+ PTO Giáp Xuân, Phú Khê</v>
          </cell>
          <cell r="D262" t="str">
            <v>T. Phú Thọ</v>
          </cell>
          <cell r="E262" t="str">
            <v>H. Cẩm Khê</v>
          </cell>
          <cell r="F262">
            <v>261</v>
          </cell>
          <cell r="H262" t="str">
            <v>WMP</v>
          </cell>
          <cell r="I262" t="str">
            <v>GHN</v>
          </cell>
        </row>
        <row r="263">
          <cell r="B263" t="str">
            <v>2CGH</v>
          </cell>
          <cell r="C263" t="str">
            <v>WM+ PTO Khu Suông 2, Phú Khê</v>
          </cell>
          <cell r="D263" t="str">
            <v>T. Phú Thọ</v>
          </cell>
          <cell r="E263" t="str">
            <v>H. Cẩm Khê</v>
          </cell>
          <cell r="F263">
            <v>262</v>
          </cell>
          <cell r="H263" t="str">
            <v>WMP</v>
          </cell>
          <cell r="I263" t="str">
            <v>GHN</v>
          </cell>
        </row>
        <row r="264">
          <cell r="B264" t="str">
            <v>2BTL</v>
          </cell>
          <cell r="C264" t="str">
            <v>WM+ PTO Khu Tiền Phong</v>
          </cell>
          <cell r="D264" t="str">
            <v>T. Phú Thọ</v>
          </cell>
          <cell r="E264" t="str">
            <v>H. Cẩm Khê</v>
          </cell>
          <cell r="F264">
            <v>263</v>
          </cell>
          <cell r="H264" t="str">
            <v>WMP</v>
          </cell>
          <cell r="I264" t="str">
            <v>GHN</v>
          </cell>
        </row>
        <row r="265">
          <cell r="B265" t="str">
            <v>2BDO</v>
          </cell>
          <cell r="C265" t="str">
            <v>WM+ PTO Khu An Ninh, Hùng Việt</v>
          </cell>
          <cell r="D265" t="str">
            <v>T. Phú Thọ</v>
          </cell>
          <cell r="E265" t="str">
            <v>H. Cẩm Khê</v>
          </cell>
          <cell r="F265">
            <v>264</v>
          </cell>
          <cell r="H265" t="str">
            <v>WMP</v>
          </cell>
          <cell r="I265" t="str">
            <v>GHN</v>
          </cell>
        </row>
        <row r="266">
          <cell r="B266" t="str">
            <v>2BDF</v>
          </cell>
          <cell r="C266" t="str">
            <v>WM+ PTO Trung Tiến 2, Hùng Việt</v>
          </cell>
          <cell r="D266" t="str">
            <v>T. Phú Thọ</v>
          </cell>
          <cell r="E266" t="str">
            <v>H. Cẩm Khê</v>
          </cell>
          <cell r="F266">
            <v>265</v>
          </cell>
          <cell r="H266" t="str">
            <v>WMP</v>
          </cell>
          <cell r="I266" t="str">
            <v>GHN</v>
          </cell>
        </row>
        <row r="267">
          <cell r="B267" t="str">
            <v>2BSF</v>
          </cell>
          <cell r="C267" t="str">
            <v>WM+ PTO 234 Đông Phú</v>
          </cell>
          <cell r="D267" t="str">
            <v>T. Phú Thọ</v>
          </cell>
          <cell r="E267" t="str">
            <v>H. Cẩm Khê</v>
          </cell>
          <cell r="F267">
            <v>266</v>
          </cell>
          <cell r="H267" t="str">
            <v>WMP</v>
          </cell>
          <cell r="I267" t="str">
            <v>GHN</v>
          </cell>
        </row>
        <row r="268">
          <cell r="B268" t="str">
            <v>2BF1</v>
          </cell>
          <cell r="C268" t="str">
            <v>WM+ PTO Bắc Tiến 2, Hùng Việt</v>
          </cell>
          <cell r="D268" t="str">
            <v>T. Phú Thọ</v>
          </cell>
          <cell r="E268" t="str">
            <v>H. Cẩm Khê</v>
          </cell>
          <cell r="F268">
            <v>267</v>
          </cell>
          <cell r="H268" t="str">
            <v>WMP</v>
          </cell>
          <cell r="I268" t="str">
            <v>GHN</v>
          </cell>
        </row>
        <row r="269">
          <cell r="B269" t="str">
            <v>2BVZ</v>
          </cell>
          <cell r="C269" t="str">
            <v>WM+ PTO Khu Cống 2, Cẩm Khê</v>
          </cell>
          <cell r="D269" t="str">
            <v>T. Phú Thọ</v>
          </cell>
          <cell r="E269" t="str">
            <v>H. Cẩm Khê</v>
          </cell>
          <cell r="F269">
            <v>268</v>
          </cell>
          <cell r="H269" t="str">
            <v>WMP</v>
          </cell>
          <cell r="I269" t="str">
            <v>GHN</v>
          </cell>
        </row>
        <row r="270">
          <cell r="B270" t="str">
            <v>6291</v>
          </cell>
          <cell r="C270" t="str">
            <v>WM+ PTO Hoa Khê, Cẩm Khê</v>
          </cell>
          <cell r="D270" t="str">
            <v>T. Phú Thọ</v>
          </cell>
          <cell r="E270" t="str">
            <v>H. Cẩm Khê</v>
          </cell>
          <cell r="F270">
            <v>269</v>
          </cell>
          <cell r="H270" t="str">
            <v>WMP</v>
          </cell>
          <cell r="I270" t="str">
            <v>GHN</v>
          </cell>
        </row>
        <row r="271">
          <cell r="B271" t="str">
            <v>6680</v>
          </cell>
          <cell r="C271" t="str">
            <v>WM+ PTO Minh Tân, Cẩm Khê</v>
          </cell>
          <cell r="D271" t="str">
            <v>T. Phú Thọ</v>
          </cell>
          <cell r="E271" t="str">
            <v>H. Cẩm Khê</v>
          </cell>
          <cell r="F271">
            <v>270</v>
          </cell>
          <cell r="H271" t="str">
            <v>WMP</v>
          </cell>
          <cell r="I271" t="str">
            <v>GHN</v>
          </cell>
        </row>
        <row r="272">
          <cell r="B272" t="str">
            <v>2BIB</v>
          </cell>
          <cell r="C272" t="str">
            <v>WM+ PTO Nương Sơn, Vân Bán</v>
          </cell>
          <cell r="D272" t="str">
            <v>T. Phú Thọ</v>
          </cell>
          <cell r="E272" t="str">
            <v>H. Cẩm Khê</v>
          </cell>
          <cell r="F272">
            <v>271</v>
          </cell>
          <cell r="H272" t="str">
            <v>WMP</v>
          </cell>
          <cell r="I272" t="str">
            <v>GHN</v>
          </cell>
        </row>
        <row r="273">
          <cell r="B273" t="str">
            <v>6281</v>
          </cell>
          <cell r="C273" t="str">
            <v>WM+ PTO 425-427 Lạc Long Quân</v>
          </cell>
          <cell r="D273" t="str">
            <v>T. Phú Thọ</v>
          </cell>
          <cell r="E273" t="str">
            <v>H. Hạ Hoà</v>
          </cell>
          <cell r="F273">
            <v>272</v>
          </cell>
          <cell r="H273" t="str">
            <v>WMP</v>
          </cell>
          <cell r="I273" t="str">
            <v>VIETTEL</v>
          </cell>
        </row>
        <row r="274">
          <cell r="B274" t="str">
            <v>2BWO</v>
          </cell>
          <cell r="C274" t="str">
            <v>WM+ PTO TĐ 24 Khu 8, Hạ Hòa</v>
          </cell>
          <cell r="D274" t="str">
            <v>T. Phú Thọ</v>
          </cell>
          <cell r="E274" t="str">
            <v>H. Hạ Hòa</v>
          </cell>
          <cell r="F274">
            <v>273</v>
          </cell>
          <cell r="H274" t="str">
            <v>WMP</v>
          </cell>
          <cell r="I274" t="str">
            <v>VIETTEL</v>
          </cell>
        </row>
        <row r="275">
          <cell r="B275" t="str">
            <v>2BX3</v>
          </cell>
          <cell r="C275" t="str">
            <v>WM+ PTO Khu 10, Hạ Hòa</v>
          </cell>
          <cell r="D275" t="str">
            <v>T. Phú Thọ</v>
          </cell>
          <cell r="E275" t="str">
            <v>H. Hạ Hoà</v>
          </cell>
          <cell r="F275">
            <v>274</v>
          </cell>
          <cell r="H275" t="str">
            <v>WMP</v>
          </cell>
          <cell r="I275" t="str">
            <v>VIETTEL</v>
          </cell>
        </row>
        <row r="276">
          <cell r="B276" t="str">
            <v>2BZ8</v>
          </cell>
          <cell r="C276" t="str">
            <v>WM+ PTO Khu 6 Hương Xạ, Yên Kỳ</v>
          </cell>
          <cell r="D276" t="str">
            <v>T. Phú Thọ</v>
          </cell>
          <cell r="E276" t="str">
            <v>H. Hạ Hòa</v>
          </cell>
          <cell r="F276">
            <v>275</v>
          </cell>
          <cell r="H276" t="str">
            <v>WMP</v>
          </cell>
          <cell r="I276" t="str">
            <v>VIETTEL</v>
          </cell>
        </row>
        <row r="277">
          <cell r="B277" t="str">
            <v>2A66</v>
          </cell>
          <cell r="C277" t="str">
            <v>WM+ PTO Khu Phố, Đoan Hùng</v>
          </cell>
          <cell r="D277" t="str">
            <v>T. Phú Thọ</v>
          </cell>
          <cell r="E277" t="str">
            <v>H. Đoan Hùng</v>
          </cell>
          <cell r="F277">
            <v>276</v>
          </cell>
          <cell r="H277" t="str">
            <v>WMP</v>
          </cell>
          <cell r="I277" t="str">
            <v>VIETTEL</v>
          </cell>
        </row>
        <row r="278">
          <cell r="B278" t="str">
            <v>2BS5</v>
          </cell>
          <cell r="C278" t="str">
            <v>WM+ PTO Phượng Hùng 1, Chí Đám</v>
          </cell>
          <cell r="D278" t="str">
            <v>T. Phú Thọ</v>
          </cell>
          <cell r="E278" t="str">
            <v>H. Đoan Hùng</v>
          </cell>
          <cell r="F278">
            <v>277</v>
          </cell>
          <cell r="H278" t="str">
            <v>WMP</v>
          </cell>
          <cell r="I278" t="str">
            <v>VIETTEL</v>
          </cell>
        </row>
        <row r="279">
          <cell r="B279" t="str">
            <v>6264</v>
          </cell>
          <cell r="C279" t="str">
            <v>WM+ PTO Khu Ngọc Chúc 3, Đoan Hùng</v>
          </cell>
          <cell r="D279" t="str">
            <v>T. Phú Thọ</v>
          </cell>
          <cell r="E279" t="str">
            <v>H. Đoan Hùng</v>
          </cell>
          <cell r="F279">
            <v>278</v>
          </cell>
          <cell r="H279" t="str">
            <v>WMP</v>
          </cell>
          <cell r="I279" t="str">
            <v>VIETTEL</v>
          </cell>
        </row>
        <row r="280">
          <cell r="B280" t="str">
            <v>5943</v>
          </cell>
          <cell r="C280" t="str">
            <v>WM+ PTO 574 Tân Tiến</v>
          </cell>
          <cell r="D280" t="str">
            <v>T. Phú Thọ</v>
          </cell>
          <cell r="E280" t="str">
            <v>H. Đoan Hùng</v>
          </cell>
          <cell r="F280">
            <v>279</v>
          </cell>
          <cell r="H280" t="str">
            <v>WMP</v>
          </cell>
          <cell r="I280" t="str">
            <v>VIETTEL</v>
          </cell>
        </row>
        <row r="281">
          <cell r="B281" t="str">
            <v>2ALO</v>
          </cell>
          <cell r="C281" t="str">
            <v>WM+ PTO Khu 2, Chân Mộng</v>
          </cell>
          <cell r="D281" t="str">
            <v>T. Phú Thọ</v>
          </cell>
          <cell r="E281" t="str">
            <v>H. Đoan Hùng</v>
          </cell>
          <cell r="F281">
            <v>280</v>
          </cell>
          <cell r="H281" t="str">
            <v>WMP</v>
          </cell>
          <cell r="I281" t="str">
            <v>VIETTEL</v>
          </cell>
        </row>
        <row r="282">
          <cell r="B282" t="str">
            <v>2BZL</v>
          </cell>
          <cell r="C282" t="str">
            <v>WM+ PTO Khu 4 Vụ Quang, Chân Mộng</v>
          </cell>
          <cell r="D282" t="str">
            <v>T. Phú Thọ</v>
          </cell>
          <cell r="E282" t="str">
            <v>H. Đoan Hùng</v>
          </cell>
          <cell r="F282">
            <v>281</v>
          </cell>
          <cell r="H282" t="str">
            <v>WMP</v>
          </cell>
          <cell r="I282" t="str">
            <v>VIETTEL</v>
          </cell>
        </row>
        <row r="283">
          <cell r="B283" t="str">
            <v>2CBH</v>
          </cell>
          <cell r="C283" t="str">
            <v>WM+ PTO Khu 5, Chân Mộng</v>
          </cell>
          <cell r="D283" t="str">
            <v>T. Phú Thọ</v>
          </cell>
          <cell r="E283" t="str">
            <v>H. Đoan Hùng</v>
          </cell>
          <cell r="F283">
            <v>282</v>
          </cell>
          <cell r="H283" t="str">
            <v>WMP</v>
          </cell>
          <cell r="I283" t="str">
            <v>VIETTEL</v>
          </cell>
        </row>
        <row r="284">
          <cell r="B284" t="str">
            <v>2CFI</v>
          </cell>
          <cell r="C284" t="str">
            <v>WM+ PTO Khu 8, Tiêu Sơn, Chân Mộng</v>
          </cell>
          <cell r="D284" t="str">
            <v>T. Phú Thọ</v>
          </cell>
          <cell r="E284" t="str">
            <v>H. Đoan Hùng</v>
          </cell>
          <cell r="F284">
            <v>283</v>
          </cell>
          <cell r="H284" t="str">
            <v>WMP</v>
          </cell>
          <cell r="I284" t="str">
            <v>VIETTEL</v>
          </cell>
        </row>
        <row r="285">
          <cell r="B285" t="str">
            <v>2BIZ</v>
          </cell>
          <cell r="C285" t="str">
            <v>WM+ PTO Khu 4, Hoàng Cương</v>
          </cell>
          <cell r="D285" t="str">
            <v>T. Phú Thọ</v>
          </cell>
          <cell r="E285" t="str">
            <v>H. Thanh Ba</v>
          </cell>
          <cell r="F285">
            <v>284</v>
          </cell>
          <cell r="H285" t="str">
            <v>WMP</v>
          </cell>
          <cell r="I285" t="str">
            <v>VIETTEL</v>
          </cell>
        </row>
        <row r="286">
          <cell r="B286" t="str">
            <v>2BBH</v>
          </cell>
          <cell r="C286" t="str">
            <v>WM+ PTO Khu 8, Đông Thành</v>
          </cell>
          <cell r="D286" t="str">
            <v>T. Phú Thọ</v>
          </cell>
          <cell r="E286" t="str">
            <v>H. Thanh Ba</v>
          </cell>
          <cell r="F286">
            <v>285</v>
          </cell>
          <cell r="H286" t="str">
            <v>WMP</v>
          </cell>
          <cell r="I286" t="str">
            <v>VIETTEL</v>
          </cell>
        </row>
        <row r="287">
          <cell r="B287" t="str">
            <v>2BQJ</v>
          </cell>
          <cell r="C287" t="str">
            <v>WM+ PTO Khu 6 Đồng Xuân, Thanh Ba</v>
          </cell>
          <cell r="D287" t="str">
            <v>T. Phú Thọ</v>
          </cell>
          <cell r="E287" t="str">
            <v>H. Thanh Ba</v>
          </cell>
          <cell r="F287">
            <v>286</v>
          </cell>
          <cell r="H287" t="str">
            <v>WMP</v>
          </cell>
          <cell r="I287" t="str">
            <v>VIETTEL</v>
          </cell>
        </row>
        <row r="288">
          <cell r="B288" t="str">
            <v>5944</v>
          </cell>
          <cell r="C288" t="str">
            <v>WM+ PTO 12 Hàn Thuyên</v>
          </cell>
          <cell r="D288" t="str">
            <v>T. Phú Thọ</v>
          </cell>
          <cell r="E288" t="str">
            <v>H. Thanh Ba</v>
          </cell>
          <cell r="F288">
            <v>287</v>
          </cell>
          <cell r="H288" t="str">
            <v>WMP</v>
          </cell>
          <cell r="I288" t="str">
            <v>VIETTEL</v>
          </cell>
        </row>
        <row r="289">
          <cell r="B289" t="str">
            <v>5947</v>
          </cell>
          <cell r="C289" t="str">
            <v>WM+ PTO Khu 8 Thanh Ba</v>
          </cell>
          <cell r="D289" t="str">
            <v>T. Phú Thọ</v>
          </cell>
          <cell r="E289" t="str">
            <v>H. Thanh Ba</v>
          </cell>
          <cell r="F289">
            <v>288</v>
          </cell>
          <cell r="H289" t="str">
            <v>WMP</v>
          </cell>
          <cell r="I289" t="str">
            <v>VIETTEL</v>
          </cell>
        </row>
        <row r="290">
          <cell r="B290" t="str">
            <v>2ANB</v>
          </cell>
          <cell r="C290" t="str">
            <v>WM+ PTO Khu 15, Hanh Cù</v>
          </cell>
          <cell r="D290" t="str">
            <v>T. Phú Thọ</v>
          </cell>
          <cell r="E290" t="str">
            <v>H. Thanh Ba</v>
          </cell>
          <cell r="F290">
            <v>289</v>
          </cell>
          <cell r="H290" t="str">
            <v>WMP</v>
          </cell>
          <cell r="I290" t="str">
            <v>VIETTEL</v>
          </cell>
        </row>
        <row r="291">
          <cell r="B291" t="str">
            <v>2BPF</v>
          </cell>
          <cell r="C291" t="str">
            <v>WM+ PTO Khu 3, Thanh Ba</v>
          </cell>
          <cell r="D291" t="str">
            <v>T. Phú Thọ</v>
          </cell>
          <cell r="E291" t="str">
            <v>H. Thanh Ba</v>
          </cell>
          <cell r="F291">
            <v>290</v>
          </cell>
          <cell r="H291" t="str">
            <v>WMP</v>
          </cell>
          <cell r="I291" t="str">
            <v>VIETTEL</v>
          </cell>
        </row>
        <row r="292">
          <cell r="B292" t="str">
            <v>2BXG</v>
          </cell>
          <cell r="C292" t="str">
            <v>WM+ PTO Khu 9, Chí Tiên</v>
          </cell>
          <cell r="D292" t="str">
            <v>T. Phú Thọ</v>
          </cell>
          <cell r="E292" t="str">
            <v>H. Thanh Ba</v>
          </cell>
          <cell r="F292">
            <v>291</v>
          </cell>
          <cell r="H292" t="str">
            <v>WMP</v>
          </cell>
          <cell r="I292" t="str">
            <v>VIETTEL</v>
          </cell>
        </row>
        <row r="293">
          <cell r="B293" t="str">
            <v>2CCB</v>
          </cell>
          <cell r="C293" t="str">
            <v>WM+ PTO Khu 3, Liên Minh</v>
          </cell>
          <cell r="D293" t="str">
            <v>T. Phú Thọ</v>
          </cell>
          <cell r="E293" t="str">
            <v>H. Thanh Ba</v>
          </cell>
          <cell r="F293">
            <v>292</v>
          </cell>
          <cell r="H293" t="str">
            <v>WMP</v>
          </cell>
          <cell r="I293" t="str">
            <v>VIETTEL</v>
          </cell>
        </row>
        <row r="294">
          <cell r="B294" t="str">
            <v>2BW4</v>
          </cell>
          <cell r="C294" t="str">
            <v>WM+ PTO Thanh Bình, Âu Cơ</v>
          </cell>
          <cell r="D294" t="str">
            <v>T. Phú Thọ</v>
          </cell>
          <cell r="E294" t="str">
            <v>TX. Phú Thọ</v>
          </cell>
          <cell r="F294">
            <v>293</v>
          </cell>
          <cell r="H294" t="str">
            <v>WMP</v>
          </cell>
          <cell r="I294" t="str">
            <v>VIETTEL</v>
          </cell>
        </row>
        <row r="295">
          <cell r="B295" t="str">
            <v>5846</v>
          </cell>
          <cell r="C295" t="str">
            <v>WM+ PTO 75 Cao Bang</v>
          </cell>
          <cell r="D295" t="str">
            <v>T. Phú Thọ</v>
          </cell>
          <cell r="E295" t="str">
            <v>TX. Phú Thọ</v>
          </cell>
          <cell r="F295">
            <v>294</v>
          </cell>
          <cell r="H295" t="str">
            <v>WMP</v>
          </cell>
          <cell r="I295" t="str">
            <v>VIETTEL</v>
          </cell>
        </row>
        <row r="296">
          <cell r="B296" t="str">
            <v>5847</v>
          </cell>
          <cell r="C296" t="str">
            <v>WM+ PTO 191 Cao Du</v>
          </cell>
          <cell r="D296" t="str">
            <v>T. Phú Thọ</v>
          </cell>
          <cell r="E296" t="str">
            <v>TX. Phú Thọ</v>
          </cell>
          <cell r="F296">
            <v>295</v>
          </cell>
          <cell r="H296" t="str">
            <v>WMP</v>
          </cell>
          <cell r="I296" t="str">
            <v>VIETTEL</v>
          </cell>
        </row>
        <row r="297">
          <cell r="B297" t="str">
            <v>1649</v>
          </cell>
          <cell r="C297" t="str">
            <v>WM VC+ PTO Phú Thọ</v>
          </cell>
          <cell r="D297" t="str">
            <v>T. Phú Thọ</v>
          </cell>
          <cell r="E297" t="str">
            <v>TX. Phú Thọ</v>
          </cell>
          <cell r="F297">
            <v>296</v>
          </cell>
          <cell r="H297" t="str">
            <v>WMP</v>
          </cell>
          <cell r="I297" t="str">
            <v>VIETTEL</v>
          </cell>
        </row>
        <row r="298">
          <cell r="B298" t="str">
            <v>5814</v>
          </cell>
          <cell r="C298" t="str">
            <v>WM+ PTO 25 tổ 10 Tân An</v>
          </cell>
          <cell r="D298" t="str">
            <v>T. Phú Thọ</v>
          </cell>
          <cell r="E298" t="str">
            <v>TX. Phú Thọ</v>
          </cell>
          <cell r="F298">
            <v>297</v>
          </cell>
          <cell r="H298" t="str">
            <v>WMP</v>
          </cell>
          <cell r="I298" t="str">
            <v>VIETTEL</v>
          </cell>
        </row>
        <row r="299">
          <cell r="B299" t="str">
            <v>2BZ0</v>
          </cell>
          <cell r="C299" t="str">
            <v>WM+ PTO An Ninh Hạ, Phú Thọ</v>
          </cell>
          <cell r="D299" t="str">
            <v>T. Phú Thọ</v>
          </cell>
          <cell r="E299" t="str">
            <v>TX. Phú Thọ</v>
          </cell>
          <cell r="F299">
            <v>298</v>
          </cell>
          <cell r="H299" t="str">
            <v>WMP</v>
          </cell>
          <cell r="I299" t="str">
            <v>VIETTEL</v>
          </cell>
        </row>
        <row r="300">
          <cell r="B300" t="str">
            <v>2CFK</v>
          </cell>
          <cell r="C300" t="str">
            <v>WM+ PTO KĐT Âu Cơ, Âu Cơ</v>
          </cell>
          <cell r="D300" t="str">
            <v>T. Phú Thọ</v>
          </cell>
          <cell r="E300" t="str">
            <v>TX. Phú Thọ</v>
          </cell>
          <cell r="F300">
            <v>299</v>
          </cell>
          <cell r="H300" t="str">
            <v>WMP</v>
          </cell>
          <cell r="I300" t="str">
            <v>VIETTEL</v>
          </cell>
        </row>
        <row r="301">
          <cell r="B301" t="str">
            <v>2ANV</v>
          </cell>
          <cell r="C301" t="str">
            <v>WM+ PTO Khu Km5, Hà Lộc</v>
          </cell>
          <cell r="D301" t="str">
            <v>T. Phú Thọ</v>
          </cell>
          <cell r="E301" t="str">
            <v>TX. Phú Thọ</v>
          </cell>
          <cell r="F301">
            <v>300</v>
          </cell>
          <cell r="H301" t="str">
            <v>WMP</v>
          </cell>
          <cell r="I301" t="str">
            <v>VIETTEL</v>
          </cell>
        </row>
        <row r="302">
          <cell r="B302" t="str">
            <v>2BAW</v>
          </cell>
          <cell r="C302" t="str">
            <v>WM+ PTO Khu 4, Phú Mỹ</v>
          </cell>
          <cell r="D302" t="str">
            <v>T. Phú Thọ</v>
          </cell>
          <cell r="E302" t="str">
            <v>H. Phù Ninh</v>
          </cell>
          <cell r="F302">
            <v>301</v>
          </cell>
          <cell r="H302" t="str">
            <v>WMP</v>
          </cell>
          <cell r="I302" t="str">
            <v>VIETTEL</v>
          </cell>
        </row>
        <row r="303">
          <cell r="B303" t="str">
            <v>2AKL</v>
          </cell>
          <cell r="C303" t="str">
            <v>WM+ PTO Khu 2, Trạm Thản</v>
          </cell>
          <cell r="D303" t="str">
            <v>T. Phú Thọ</v>
          </cell>
          <cell r="E303" t="str">
            <v>H. Phù Ninh</v>
          </cell>
          <cell r="F303">
            <v>302</v>
          </cell>
          <cell r="H303" t="str">
            <v>WMP</v>
          </cell>
          <cell r="I303" t="str">
            <v>VIETTEL</v>
          </cell>
        </row>
        <row r="304">
          <cell r="B304" t="str">
            <v>5918</v>
          </cell>
          <cell r="C304" t="str">
            <v>WM+ PTO Khu 12 Phú Hộ</v>
          </cell>
          <cell r="D304" t="str">
            <v>T. Phú Thọ</v>
          </cell>
          <cell r="E304" t="str">
            <v>H. Phù Ninh</v>
          </cell>
          <cell r="F304">
            <v>303</v>
          </cell>
          <cell r="H304" t="str">
            <v>WMP</v>
          </cell>
          <cell r="I304" t="str">
            <v>VIETTEL</v>
          </cell>
        </row>
        <row r="305">
          <cell r="B305" t="str">
            <v>2BX4</v>
          </cell>
          <cell r="C305" t="str">
            <v>WM+ PTO Khu 10, Phù Ninh</v>
          </cell>
          <cell r="D305" t="str">
            <v>T. Phú Thọ</v>
          </cell>
          <cell r="E305" t="str">
            <v>H. Phù Ninh</v>
          </cell>
          <cell r="F305">
            <v>304</v>
          </cell>
          <cell r="H305" t="str">
            <v>WMP</v>
          </cell>
          <cell r="I305" t="str">
            <v>VIETTEL</v>
          </cell>
        </row>
        <row r="306">
          <cell r="B306" t="str">
            <v>6750</v>
          </cell>
          <cell r="C306" t="str">
            <v>WM+ PTO Bình Phú, Phù Ninh</v>
          </cell>
          <cell r="D306" t="str">
            <v>T. Phú Thọ</v>
          </cell>
          <cell r="E306" t="str">
            <v>H. Phù Ninh</v>
          </cell>
          <cell r="F306">
            <v>305</v>
          </cell>
          <cell r="H306" t="str">
            <v>WMP</v>
          </cell>
          <cell r="I306" t="str">
            <v>VIETTEL</v>
          </cell>
        </row>
        <row r="307">
          <cell r="B307" t="str">
            <v>2CAW</v>
          </cell>
          <cell r="C307" t="str">
            <v>WM+ PTO Khu 11, Bình Phú</v>
          </cell>
          <cell r="D307" t="str">
            <v>T. Phú Thọ</v>
          </cell>
          <cell r="E307" t="str">
            <v>H. Phù Ninh</v>
          </cell>
          <cell r="F307">
            <v>306</v>
          </cell>
          <cell r="I307" t="str">
            <v>VIETTEL</v>
          </cell>
        </row>
        <row r="308">
          <cell r="B308" t="str">
            <v>2AD3</v>
          </cell>
          <cell r="C308" t="str">
            <v>WM+ PTO Núi Trang, Phù Ninh</v>
          </cell>
          <cell r="D308" t="str">
            <v>T. Phú Thọ</v>
          </cell>
          <cell r="E308" t="str">
            <v>H. Phù Ninh</v>
          </cell>
          <cell r="F308">
            <v>307</v>
          </cell>
          <cell r="H308" t="str">
            <v>WMP</v>
          </cell>
          <cell r="I308" t="str">
            <v>VIETTEL</v>
          </cell>
        </row>
        <row r="309">
          <cell r="B309" t="str">
            <v>5689</v>
          </cell>
          <cell r="C309" t="str">
            <v>WM+ PTO 188 Đường Nam, Phù Ninh</v>
          </cell>
          <cell r="D309" t="str">
            <v>T. Phú Thọ</v>
          </cell>
          <cell r="E309" t="str">
            <v>H. Phù Ninh</v>
          </cell>
          <cell r="F309">
            <v>308</v>
          </cell>
          <cell r="H309" t="str">
            <v>WMP</v>
          </cell>
          <cell r="I309" t="str">
            <v>VIETTEL</v>
          </cell>
        </row>
        <row r="310">
          <cell r="B310" t="str">
            <v>2B44</v>
          </cell>
          <cell r="C310" t="str">
            <v>WM+ PTO Khu 3, TT Phong Châu</v>
          </cell>
          <cell r="D310" t="str">
            <v>T. Phú Thọ</v>
          </cell>
          <cell r="E310" t="str">
            <v>H. Phù Ninh</v>
          </cell>
          <cell r="F310">
            <v>309</v>
          </cell>
          <cell r="H310" t="str">
            <v>WMP</v>
          </cell>
          <cell r="I310" t="str">
            <v>VIETTEL</v>
          </cell>
        </row>
        <row r="311">
          <cell r="B311" t="str">
            <v>6270</v>
          </cell>
          <cell r="C311" t="str">
            <v>WM+ PTO Phú Lộc, Phù Ninh</v>
          </cell>
          <cell r="D311" t="str">
            <v>T. Phú Thọ</v>
          </cell>
          <cell r="E311" t="str">
            <v>H. Phù Ninh</v>
          </cell>
          <cell r="F311">
            <v>310</v>
          </cell>
          <cell r="H311" t="str">
            <v>WMP</v>
          </cell>
          <cell r="I311" t="str">
            <v>VIETTEL</v>
          </cell>
        </row>
        <row r="312">
          <cell r="B312" t="str">
            <v>2BGF</v>
          </cell>
          <cell r="C312" t="str">
            <v>WM+ PTO Khu 10, Xuân Lũng</v>
          </cell>
          <cell r="D312" t="str">
            <v>T. Phú Thọ</v>
          </cell>
          <cell r="E312" t="str">
            <v>H. Lâm Thao</v>
          </cell>
          <cell r="F312">
            <v>311</v>
          </cell>
          <cell r="H312" t="str">
            <v>WMP</v>
          </cell>
          <cell r="I312" t="str">
            <v>GHN</v>
          </cell>
        </row>
        <row r="313">
          <cell r="B313" t="str">
            <v>2BBO</v>
          </cell>
          <cell r="C313" t="str">
            <v>WM+ PTO Khu 2, Xuân Lũng</v>
          </cell>
          <cell r="D313" t="str">
            <v>T. Phú Thọ</v>
          </cell>
          <cell r="E313" t="str">
            <v>H. Lâm Thao</v>
          </cell>
          <cell r="F313">
            <v>312</v>
          </cell>
          <cell r="H313" t="str">
            <v>WMP</v>
          </cell>
          <cell r="I313" t="str">
            <v>GHN</v>
          </cell>
        </row>
        <row r="314">
          <cell r="B314" t="str">
            <v>6540</v>
          </cell>
          <cell r="C314" t="str">
            <v>WM+ PTO Khu 12, TT Lâm Thao</v>
          </cell>
          <cell r="D314" t="str">
            <v>T. Phú Thọ</v>
          </cell>
          <cell r="E314" t="str">
            <v>H. Lâm Thao</v>
          </cell>
          <cell r="F314">
            <v>313</v>
          </cell>
          <cell r="H314" t="str">
            <v>WMP</v>
          </cell>
          <cell r="I314" t="str">
            <v>GHN</v>
          </cell>
        </row>
        <row r="315">
          <cell r="B315" t="str">
            <v>5905</v>
          </cell>
          <cell r="C315" t="str">
            <v>WM+ PTO 26 Âu Cơ</v>
          </cell>
          <cell r="D315" t="str">
            <v>T. Phú Thọ</v>
          </cell>
          <cell r="E315" t="str">
            <v>H. Lâm Thao</v>
          </cell>
          <cell r="F315">
            <v>314</v>
          </cell>
          <cell r="H315" t="str">
            <v>WMP</v>
          </cell>
          <cell r="I315" t="str">
            <v>GHN</v>
          </cell>
        </row>
        <row r="316">
          <cell r="B316" t="str">
            <v>2BX9</v>
          </cell>
          <cell r="C316" t="str">
            <v>WM+ PTO Khu 15, Dục Mỹ</v>
          </cell>
          <cell r="D316" t="str">
            <v>T. Phú Thọ</v>
          </cell>
          <cell r="E316" t="str">
            <v>H. Lâm Thao</v>
          </cell>
          <cell r="F316">
            <v>315</v>
          </cell>
          <cell r="H316" t="str">
            <v>WMP</v>
          </cell>
          <cell r="I316" t="str">
            <v>GHN</v>
          </cell>
        </row>
        <row r="317">
          <cell r="B317" t="str">
            <v>6338</v>
          </cell>
          <cell r="C317" t="str">
            <v>WM+ PTO Cao Xá, Lâm Thao</v>
          </cell>
          <cell r="D317" t="str">
            <v>T. Phú Thọ</v>
          </cell>
          <cell r="E317" t="str">
            <v>H. Lâm Thao</v>
          </cell>
          <cell r="F317">
            <v>316</v>
          </cell>
          <cell r="H317" t="str">
            <v>WMP</v>
          </cell>
          <cell r="I317" t="str">
            <v>GHN</v>
          </cell>
        </row>
        <row r="318">
          <cell r="B318" t="str">
            <v>2BW8</v>
          </cell>
          <cell r="C318" t="str">
            <v>WM+ PTO Khu 1, Bản Nguyên</v>
          </cell>
          <cell r="D318" t="str">
            <v>T. Phú Thọ</v>
          </cell>
          <cell r="E318" t="str">
            <v>H. Lâm Thao</v>
          </cell>
          <cell r="F318">
            <v>317</v>
          </cell>
          <cell r="H318" t="str">
            <v>WMP</v>
          </cell>
          <cell r="I318" t="str">
            <v>GHN</v>
          </cell>
        </row>
        <row r="319">
          <cell r="B319" t="str">
            <v>2CJL</v>
          </cell>
          <cell r="C319" t="str">
            <v>WM+ PTO 33 Thống Nhất, Phùng Nguyên</v>
          </cell>
          <cell r="D319" t="str">
            <v>T. Phú Thọ</v>
          </cell>
          <cell r="E319" t="str">
            <v>H. Lâm Thao</v>
          </cell>
          <cell r="F319">
            <v>318</v>
          </cell>
          <cell r="I319" t="str">
            <v>VIETTEL</v>
          </cell>
        </row>
        <row r="320">
          <cell r="B320" t="str">
            <v>2AKG</v>
          </cell>
          <cell r="C320" t="str">
            <v>WM+ PTO Khu 5, Tứ Xã</v>
          </cell>
          <cell r="D320" t="str">
            <v>T. Phú Thọ</v>
          </cell>
          <cell r="E320" t="str">
            <v>H. Lâm Thao</v>
          </cell>
          <cell r="F320">
            <v>319</v>
          </cell>
          <cell r="H320" t="str">
            <v>WMP</v>
          </cell>
          <cell r="I320" t="str">
            <v>GHN</v>
          </cell>
        </row>
        <row r="321">
          <cell r="B321" t="str">
            <v>6562</v>
          </cell>
          <cell r="C321" t="str">
            <v>WM+ PTO 235-235B TT Hùng Sơn</v>
          </cell>
          <cell r="D321" t="str">
            <v>T. Phú Thọ</v>
          </cell>
          <cell r="E321" t="str">
            <v>H. Lâm Thao</v>
          </cell>
          <cell r="F321">
            <v>320</v>
          </cell>
          <cell r="H321" t="str">
            <v>WMP</v>
          </cell>
          <cell r="I321" t="str">
            <v>GHN</v>
          </cell>
        </row>
        <row r="322">
          <cell r="B322" t="str">
            <v>6399</v>
          </cell>
          <cell r="C322" t="str">
            <v>WM+ PTO Khu 3 Hùng Lô, Việt Trì</v>
          </cell>
          <cell r="D322" t="str">
            <v>T. Phú Thọ</v>
          </cell>
          <cell r="E322" t="str">
            <v>TP. Việt Trì</v>
          </cell>
          <cell r="F322">
            <v>321</v>
          </cell>
          <cell r="H322" t="str">
            <v>WMP</v>
          </cell>
          <cell r="I322" t="str">
            <v>VIETTEL</v>
          </cell>
        </row>
        <row r="323">
          <cell r="B323" t="str">
            <v>3539</v>
          </cell>
          <cell r="C323" t="str">
            <v>WM+ PTO Tổ 1, khu 1A, Vân Phú</v>
          </cell>
          <cell r="D323" t="str">
            <v>T. Phú Thọ</v>
          </cell>
          <cell r="E323" t="str">
            <v>TP. Việt Trì</v>
          </cell>
          <cell r="F323">
            <v>322</v>
          </cell>
          <cell r="H323" t="str">
            <v>WMP</v>
          </cell>
          <cell r="I323" t="str">
            <v>VIETTEL</v>
          </cell>
        </row>
        <row r="324">
          <cell r="B324" t="str">
            <v>4141</v>
          </cell>
          <cell r="C324" t="str">
            <v>WM+ PTO Khu 3 Vân Phú</v>
          </cell>
          <cell r="D324" t="str">
            <v>T. Phú Thọ</v>
          </cell>
          <cell r="E324" t="str">
            <v>TP. Việt Trì</v>
          </cell>
          <cell r="F324">
            <v>323</v>
          </cell>
          <cell r="H324" t="str">
            <v>WMP</v>
          </cell>
          <cell r="I324" t="str">
            <v>VIETTEL</v>
          </cell>
        </row>
        <row r="325">
          <cell r="B325" t="str">
            <v>2BEV</v>
          </cell>
          <cell r="C325" t="str">
            <v>WM+ PTO Đội 3, Nông Trang</v>
          </cell>
          <cell r="D325" t="str">
            <v>T. Phú Thọ</v>
          </cell>
          <cell r="E325" t="str">
            <v>TP. Việt Trì</v>
          </cell>
          <cell r="F325">
            <v>324</v>
          </cell>
          <cell r="H325" t="str">
            <v>WMP</v>
          </cell>
          <cell r="I325" t="str">
            <v>VIETTEL</v>
          </cell>
        </row>
        <row r="326">
          <cell r="B326" t="str">
            <v>2BS3</v>
          </cell>
          <cell r="C326" t="str">
            <v>WM+ PTO Khu 6, Hy Cương</v>
          </cell>
          <cell r="D326" t="str">
            <v>T. Phú Thọ</v>
          </cell>
          <cell r="E326" t="str">
            <v>TP. Việt Trì</v>
          </cell>
          <cell r="F326">
            <v>325</v>
          </cell>
          <cell r="H326" t="str">
            <v>WMP</v>
          </cell>
          <cell r="I326" t="str">
            <v>VIETTEL</v>
          </cell>
        </row>
        <row r="327">
          <cell r="B327" t="str">
            <v>3343</v>
          </cell>
          <cell r="C327" t="str">
            <v>WM+ PTO 3023 Đại Lộ Hùng Vương</v>
          </cell>
          <cell r="D327" t="str">
            <v>T. Phú Thọ</v>
          </cell>
          <cell r="E327" t="str">
            <v>TP. Việt Trì</v>
          </cell>
          <cell r="F327">
            <v>326</v>
          </cell>
          <cell r="H327" t="str">
            <v>WMP</v>
          </cell>
          <cell r="I327" t="str">
            <v>VIETTEL</v>
          </cell>
        </row>
        <row r="328">
          <cell r="B328" t="str">
            <v>2AY6</v>
          </cell>
          <cell r="C328" t="str">
            <v>WM+ PTO Khu Trung Phương, Việt Trì</v>
          </cell>
          <cell r="D328" t="str">
            <v>T. Phú Thọ</v>
          </cell>
          <cell r="E328" t="str">
            <v>TP. Việt Trì</v>
          </cell>
          <cell r="F328">
            <v>327</v>
          </cell>
          <cell r="H328" t="str">
            <v>WMP</v>
          </cell>
          <cell r="I328" t="str">
            <v>VIETTEL</v>
          </cell>
        </row>
        <row r="329">
          <cell r="B329" t="str">
            <v>4215</v>
          </cell>
          <cell r="C329" t="str">
            <v>WM+ PTO 44 Đại Nải</v>
          </cell>
          <cell r="D329" t="str">
            <v>T. Phú Thọ</v>
          </cell>
          <cell r="E329" t="str">
            <v>TP. Việt Trì</v>
          </cell>
          <cell r="F329">
            <v>328</v>
          </cell>
          <cell r="H329" t="str">
            <v>WMP</v>
          </cell>
          <cell r="I329" t="str">
            <v>VIETTEL</v>
          </cell>
        </row>
        <row r="330">
          <cell r="B330" t="str">
            <v>6117</v>
          </cell>
          <cell r="C330" t="str">
            <v>WM+ PTO 167-169 Nguyễn Trãi</v>
          </cell>
          <cell r="D330" t="str">
            <v>T. Phú Thọ</v>
          </cell>
          <cell r="E330" t="str">
            <v>TP. Việt Trì</v>
          </cell>
          <cell r="F330">
            <v>329</v>
          </cell>
          <cell r="H330" t="str">
            <v>WMP</v>
          </cell>
          <cell r="I330" t="str">
            <v>VIETTEL</v>
          </cell>
        </row>
        <row r="331">
          <cell r="B331" t="str">
            <v>6432</v>
          </cell>
          <cell r="C331" t="str">
            <v>WM+ PTO Vũ Duệ, Việt Trì</v>
          </cell>
          <cell r="D331" t="str">
            <v>T. Phú Thọ</v>
          </cell>
          <cell r="E331" t="str">
            <v>TP. Việt Trì</v>
          </cell>
          <cell r="F331">
            <v>330</v>
          </cell>
          <cell r="H331" t="str">
            <v>WMP</v>
          </cell>
          <cell r="I331" t="str">
            <v>VIETTEL</v>
          </cell>
        </row>
        <row r="332">
          <cell r="B332" t="str">
            <v>3585</v>
          </cell>
          <cell r="C332" t="str">
            <v>WM+ PTO Khu 6B, Nông Trang</v>
          </cell>
          <cell r="D332" t="str">
            <v>T. Phú Thọ</v>
          </cell>
          <cell r="E332" t="str">
            <v>TP. Việt Trì</v>
          </cell>
          <cell r="F332">
            <v>331</v>
          </cell>
          <cell r="H332" t="str">
            <v>WMP</v>
          </cell>
          <cell r="I332" t="str">
            <v>VIETTEL</v>
          </cell>
        </row>
        <row r="333">
          <cell r="B333" t="str">
            <v>3345</v>
          </cell>
          <cell r="C333" t="str">
            <v>WM+ PTO 44 Nguyễn Du</v>
          </cell>
          <cell r="D333" t="str">
            <v>T. Phú Thọ</v>
          </cell>
          <cell r="E333" t="str">
            <v>TP. Việt Trì</v>
          </cell>
          <cell r="F333">
            <v>332</v>
          </cell>
          <cell r="H333" t="str">
            <v>WMP</v>
          </cell>
          <cell r="I333" t="str">
            <v>VIETTEL</v>
          </cell>
        </row>
        <row r="334">
          <cell r="B334" t="str">
            <v>3627</v>
          </cell>
          <cell r="C334" t="str">
            <v xml:space="preserve">WM+ PTO Khu 2A, Nông Trang </v>
          </cell>
          <cell r="D334" t="str">
            <v>T. Phú Thọ</v>
          </cell>
          <cell r="E334" t="str">
            <v>TP. Việt Trì</v>
          </cell>
          <cell r="F334">
            <v>333</v>
          </cell>
          <cell r="H334" t="str">
            <v>WMP</v>
          </cell>
          <cell r="I334" t="str">
            <v>VIETTEL</v>
          </cell>
        </row>
        <row r="335">
          <cell r="B335" t="str">
            <v>4106</v>
          </cell>
          <cell r="C335" t="str">
            <v>WM+ PTO Khu 8 Nông Trang</v>
          </cell>
          <cell r="D335" t="str">
            <v>T. Phú Thọ</v>
          </cell>
          <cell r="E335" t="str">
            <v>TP. Việt Trì</v>
          </cell>
          <cell r="F335">
            <v>334</v>
          </cell>
          <cell r="H335" t="str">
            <v>WMP</v>
          </cell>
          <cell r="I335" t="str">
            <v>VIETTEL</v>
          </cell>
        </row>
        <row r="336">
          <cell r="B336" t="str">
            <v>3518</v>
          </cell>
          <cell r="C336" t="str">
            <v>WM+ PTO 73 Quang Trung</v>
          </cell>
          <cell r="D336" t="str">
            <v>T. Phú Thọ</v>
          </cell>
          <cell r="E336" t="str">
            <v>TP. Việt Trì</v>
          </cell>
          <cell r="F336">
            <v>335</v>
          </cell>
          <cell r="H336" t="str">
            <v>WMP</v>
          </cell>
          <cell r="I336" t="str">
            <v>VIETTEL</v>
          </cell>
        </row>
        <row r="337">
          <cell r="B337" t="str">
            <v>3313</v>
          </cell>
          <cell r="C337" t="str">
            <v>WM+ PTO 62 Phan Châu Trinh</v>
          </cell>
          <cell r="D337" t="str">
            <v>T. Phú Thọ</v>
          </cell>
          <cell r="E337" t="str">
            <v>TP. Việt Trì</v>
          </cell>
          <cell r="F337">
            <v>336</v>
          </cell>
          <cell r="H337" t="str">
            <v>WMP</v>
          </cell>
          <cell r="I337" t="str">
            <v>VIETTEL</v>
          </cell>
        </row>
        <row r="338">
          <cell r="B338" t="str">
            <v>3642</v>
          </cell>
          <cell r="C338" t="str">
            <v>WM+ PTO Băng 1, Quang Trung</v>
          </cell>
          <cell r="D338" t="str">
            <v>T. Phú Thọ</v>
          </cell>
          <cell r="E338" t="str">
            <v>TP. Việt Trì</v>
          </cell>
          <cell r="F338">
            <v>337</v>
          </cell>
          <cell r="H338" t="str">
            <v>WMP</v>
          </cell>
          <cell r="I338" t="str">
            <v>VIETTEL</v>
          </cell>
        </row>
        <row r="339">
          <cell r="B339" t="str">
            <v>6052</v>
          </cell>
          <cell r="C339" t="str">
            <v>WM+ PTO Khu 5 Nông Trang</v>
          </cell>
          <cell r="D339" t="str">
            <v>T. Phú Thọ</v>
          </cell>
          <cell r="E339" t="str">
            <v>TP. Việt Trì</v>
          </cell>
          <cell r="F339">
            <v>338</v>
          </cell>
          <cell r="H339" t="str">
            <v>WMP</v>
          </cell>
          <cell r="I339" t="str">
            <v>VIETTEL</v>
          </cell>
        </row>
        <row r="340">
          <cell r="B340" t="str">
            <v>3656</v>
          </cell>
          <cell r="C340" t="str">
            <v>WM+ PTO Khu Tân Thịnh, Tân Dân</v>
          </cell>
          <cell r="D340" t="str">
            <v>T. Phú Thọ</v>
          </cell>
          <cell r="E340" t="str">
            <v>TP. Việt Trì</v>
          </cell>
          <cell r="F340">
            <v>339</v>
          </cell>
          <cell r="H340" t="str">
            <v>WMP</v>
          </cell>
          <cell r="I340" t="str">
            <v>VIETTEL</v>
          </cell>
        </row>
        <row r="341">
          <cell r="B341" t="str">
            <v>6529</v>
          </cell>
          <cell r="C341" t="str">
            <v>WM+ PTO 545 Trần Phú</v>
          </cell>
          <cell r="D341" t="str">
            <v>T. Phú Thọ</v>
          </cell>
          <cell r="E341" t="str">
            <v>TP. Việt Trì</v>
          </cell>
          <cell r="F341">
            <v>340</v>
          </cell>
          <cell r="H341" t="str">
            <v>WMP</v>
          </cell>
          <cell r="I341" t="str">
            <v>GHN</v>
          </cell>
        </row>
        <row r="342">
          <cell r="B342" t="str">
            <v>6513</v>
          </cell>
          <cell r="C342" t="str">
            <v>WM+ PTO 12 Tổ 5 Trần Phú</v>
          </cell>
          <cell r="D342" t="str">
            <v>T. Phú Thọ</v>
          </cell>
          <cell r="E342" t="str">
            <v>TP. Việt Trì</v>
          </cell>
          <cell r="F342">
            <v>341</v>
          </cell>
          <cell r="H342" t="str">
            <v>WMP</v>
          </cell>
          <cell r="I342" t="str">
            <v>GHN</v>
          </cell>
        </row>
        <row r="343">
          <cell r="B343" t="str">
            <v>3643</v>
          </cell>
          <cell r="C343" t="str">
            <v>WM+ PTO Khu Tân An, Tân Dân</v>
          </cell>
          <cell r="D343" t="str">
            <v>T. Phú Thọ</v>
          </cell>
          <cell r="E343" t="str">
            <v>TP. Việt Trì</v>
          </cell>
          <cell r="F343">
            <v>342</v>
          </cell>
          <cell r="H343" t="str">
            <v>WMP</v>
          </cell>
          <cell r="I343" t="str">
            <v>GHN</v>
          </cell>
        </row>
        <row r="344">
          <cell r="B344" t="str">
            <v>2BFK</v>
          </cell>
          <cell r="C344" t="str">
            <v>WM+ PTO 192-194 Trần Phú, Việt Trì</v>
          </cell>
          <cell r="D344" t="str">
            <v>T. Phú Thọ</v>
          </cell>
          <cell r="E344" t="str">
            <v>TP. Việt Trì</v>
          </cell>
          <cell r="F344">
            <v>343</v>
          </cell>
          <cell r="H344" t="str">
            <v>WMP</v>
          </cell>
          <cell r="I344" t="str">
            <v>GHN</v>
          </cell>
        </row>
        <row r="345">
          <cell r="B345" t="str">
            <v>3993</v>
          </cell>
          <cell r="C345" t="str">
            <v>WM+ PTO 66 Hàn Thuyên</v>
          </cell>
          <cell r="D345" t="str">
            <v>T. Phú Thọ</v>
          </cell>
          <cell r="E345" t="str">
            <v>TP. Việt Trì</v>
          </cell>
          <cell r="F345">
            <v>344</v>
          </cell>
          <cell r="H345" t="str">
            <v>WMP</v>
          </cell>
          <cell r="I345" t="str">
            <v>GHN</v>
          </cell>
        </row>
        <row r="346">
          <cell r="B346" t="str">
            <v>2AB9</v>
          </cell>
          <cell r="C346" t="str">
            <v>WM+ PTO 35 Hà Chương</v>
          </cell>
          <cell r="D346" t="str">
            <v>T. Phú Thọ</v>
          </cell>
          <cell r="E346" t="str">
            <v>TP. Việt Trì</v>
          </cell>
          <cell r="F346">
            <v>345</v>
          </cell>
          <cell r="H346" t="str">
            <v>WMP</v>
          </cell>
          <cell r="I346" t="str">
            <v>GHN</v>
          </cell>
        </row>
        <row r="347">
          <cell r="B347" t="str">
            <v>6045</v>
          </cell>
          <cell r="C347" t="str">
            <v>WM+ PTO 476 Châu Phong</v>
          </cell>
          <cell r="D347" t="str">
            <v>T. Phú Thọ</v>
          </cell>
          <cell r="E347" t="str">
            <v>TP. Việt Trì</v>
          </cell>
          <cell r="F347">
            <v>346</v>
          </cell>
          <cell r="H347" t="str">
            <v>WMP</v>
          </cell>
          <cell r="I347" t="str">
            <v>GHN</v>
          </cell>
        </row>
        <row r="348">
          <cell r="B348" t="str">
            <v>6460</v>
          </cell>
          <cell r="C348" t="str">
            <v>WM+ PTO Đồng Gia, Việt Trì</v>
          </cell>
          <cell r="D348" t="str">
            <v>T. Phú Thọ</v>
          </cell>
          <cell r="E348" t="str">
            <v>TP. Việt Trì</v>
          </cell>
          <cell r="F348">
            <v>347</v>
          </cell>
          <cell r="H348" t="str">
            <v>WMP</v>
          </cell>
          <cell r="I348" t="str">
            <v>GHN</v>
          </cell>
        </row>
        <row r="349">
          <cell r="B349" t="str">
            <v>3435</v>
          </cell>
          <cell r="C349" t="str">
            <v>WM+ 130 Lê Quý Đôn, Việt Trì, PT</v>
          </cell>
          <cell r="D349" t="str">
            <v>T. Phú Thọ</v>
          </cell>
          <cell r="E349" t="str">
            <v>TP. Việt Trì</v>
          </cell>
          <cell r="F349">
            <v>348</v>
          </cell>
          <cell r="H349" t="str">
            <v>WMP</v>
          </cell>
          <cell r="I349" t="str">
            <v>GHN</v>
          </cell>
        </row>
        <row r="350">
          <cell r="B350" t="str">
            <v>1564</v>
          </cell>
          <cell r="C350" t="str">
            <v>WM VCP PTO Việt Trì</v>
          </cell>
          <cell r="D350" t="str">
            <v>T. Phú Thọ</v>
          </cell>
          <cell r="E350" t="str">
            <v>TP. Việt Trì</v>
          </cell>
          <cell r="F350">
            <v>349</v>
          </cell>
          <cell r="H350" t="str">
            <v>WMP</v>
          </cell>
          <cell r="I350" t="str">
            <v>GHN</v>
          </cell>
        </row>
        <row r="351">
          <cell r="B351" t="str">
            <v>2AJJ</v>
          </cell>
          <cell r="C351" t="str">
            <v>WM+ PTO 439 Tiên Dung</v>
          </cell>
          <cell r="D351" t="str">
            <v>T. Phú Thọ</v>
          </cell>
          <cell r="E351" t="str">
            <v>TP. Việt Trì</v>
          </cell>
          <cell r="F351">
            <v>350</v>
          </cell>
          <cell r="H351" t="str">
            <v>WMP</v>
          </cell>
          <cell r="I351" t="str">
            <v>GHN</v>
          </cell>
        </row>
        <row r="352">
          <cell r="B352" t="str">
            <v>3685</v>
          </cell>
          <cell r="C352" t="str">
            <v>WM+ PTO 1343 Hùng Vương</v>
          </cell>
          <cell r="D352" t="str">
            <v>T. Phú Thọ</v>
          </cell>
          <cell r="E352" t="str">
            <v>TP. Việt Trì</v>
          </cell>
          <cell r="F352">
            <v>351</v>
          </cell>
          <cell r="H352" t="str">
            <v>WMP</v>
          </cell>
          <cell r="I352" t="str">
            <v>GHN</v>
          </cell>
        </row>
        <row r="353">
          <cell r="B353" t="str">
            <v>3407</v>
          </cell>
          <cell r="C353" t="str">
            <v>WM+ PTO 1250 Hùng Vương</v>
          </cell>
          <cell r="D353" t="str">
            <v>T. Phú Thọ</v>
          </cell>
          <cell r="E353" t="str">
            <v>TP. Việt Trì</v>
          </cell>
          <cell r="F353">
            <v>352</v>
          </cell>
          <cell r="H353" t="str">
            <v>WMP</v>
          </cell>
          <cell r="I353" t="str">
            <v>GHN</v>
          </cell>
        </row>
        <row r="354">
          <cell r="B354" t="str">
            <v>2CFX</v>
          </cell>
          <cell r="C354" t="str">
            <v>WM+ PTO 965 Hùng Vương</v>
          </cell>
          <cell r="D354" t="str">
            <v>T. Phú Thọ</v>
          </cell>
          <cell r="E354" t="str">
            <v>TP. Việt Trì</v>
          </cell>
          <cell r="F354">
            <v>353</v>
          </cell>
          <cell r="H354" t="str">
            <v>WMP</v>
          </cell>
          <cell r="I354" t="str">
            <v>GHN</v>
          </cell>
        </row>
        <row r="355">
          <cell r="B355" t="str">
            <v>4093</v>
          </cell>
          <cell r="C355" t="str">
            <v>WM+ PTO Tổ 26A Hai Bà Trưng</v>
          </cell>
          <cell r="D355" t="str">
            <v>T. Phú Thọ</v>
          </cell>
          <cell r="E355" t="str">
            <v>TP. Việt Trì</v>
          </cell>
          <cell r="F355">
            <v>354</v>
          </cell>
          <cell r="H355" t="str">
            <v>WMP</v>
          </cell>
          <cell r="I355" t="str">
            <v>GHN</v>
          </cell>
        </row>
        <row r="356">
          <cell r="B356" t="str">
            <v>3464</v>
          </cell>
          <cell r="C356" t="str">
            <v>WM+ PTO Thành Công, Việt Trì</v>
          </cell>
          <cell r="D356" t="str">
            <v>T. Phú Thọ</v>
          </cell>
          <cell r="E356" t="str">
            <v>TP. Việt Trì</v>
          </cell>
          <cell r="F356">
            <v>355</v>
          </cell>
          <cell r="H356" t="str">
            <v>WMP</v>
          </cell>
          <cell r="I356" t="str">
            <v>GHN</v>
          </cell>
        </row>
        <row r="357">
          <cell r="B357" t="str">
            <v>6434</v>
          </cell>
          <cell r="C357" t="str">
            <v>WM+ PTO 107 Bạch Hạc</v>
          </cell>
          <cell r="D357" t="str">
            <v>T. Phú Thọ</v>
          </cell>
          <cell r="E357" t="str">
            <v>TP. Việt Trì</v>
          </cell>
          <cell r="F357">
            <v>356</v>
          </cell>
          <cell r="H357" t="str">
            <v>WMP</v>
          </cell>
          <cell r="I357" t="str">
            <v>GHN</v>
          </cell>
        </row>
        <row r="358">
          <cell r="B358" t="str">
            <v>2AU9</v>
          </cell>
          <cell r="C358" t="str">
            <v>WM+ PTO Băng 1, Nguyễn Tất Thành</v>
          </cell>
          <cell r="D358" t="str">
            <v>T. Phú Thọ</v>
          </cell>
          <cell r="E358" t="str">
            <v>TP. Việt Trì</v>
          </cell>
          <cell r="F358">
            <v>357</v>
          </cell>
          <cell r="H358" t="str">
            <v>WMP</v>
          </cell>
          <cell r="I358" t="str">
            <v>GHN</v>
          </cell>
        </row>
        <row r="359">
          <cell r="B359" t="str">
            <v>6179</v>
          </cell>
          <cell r="C359" t="str">
            <v>WM+ TQG 76 TDP Vĩnh Lim</v>
          </cell>
          <cell r="D359" t="str">
            <v>T. Tuyên Quang</v>
          </cell>
          <cell r="E359" t="str">
            <v>H. Chiêm Hóa</v>
          </cell>
          <cell r="F359">
            <v>358</v>
          </cell>
          <cell r="H359" t="str">
            <v>WMP</v>
          </cell>
          <cell r="I359" t="str">
            <v>SAFEFAST</v>
          </cell>
        </row>
        <row r="360">
          <cell r="B360" t="str">
            <v>6006</v>
          </cell>
          <cell r="C360" t="str">
            <v>WM+ TQG 11/9 Vĩnh Lộc, Chiêm Hóa</v>
          </cell>
          <cell r="D360" t="str">
            <v>T. Tuyên Quang</v>
          </cell>
          <cell r="E360" t="str">
            <v>H. Chiêm Hóa</v>
          </cell>
          <cell r="F360">
            <v>359</v>
          </cell>
          <cell r="H360" t="str">
            <v>WMP</v>
          </cell>
          <cell r="I360" t="str">
            <v>SAFEFAST</v>
          </cell>
        </row>
        <row r="361">
          <cell r="B361" t="str">
            <v>5782</v>
          </cell>
          <cell r="C361" t="str">
            <v>WM+ TQG TDP Tân Cương, Hàm Yên</v>
          </cell>
          <cell r="D361" t="str">
            <v>T. Tuyên Quang</v>
          </cell>
          <cell r="E361" t="str">
            <v>H. Hàm Yên</v>
          </cell>
          <cell r="F361">
            <v>360</v>
          </cell>
          <cell r="H361" t="str">
            <v>WMP</v>
          </cell>
          <cell r="I361" t="str">
            <v>SAFEFAST</v>
          </cell>
        </row>
        <row r="362">
          <cell r="B362" t="str">
            <v>5797</v>
          </cell>
          <cell r="C362" t="str">
            <v>WM+ TQG 292 TDP Tân Tiến, Tân Yên</v>
          </cell>
          <cell r="D362" t="str">
            <v>T. Tuyên Quang</v>
          </cell>
          <cell r="E362" t="str">
            <v>H. Hàm Yên</v>
          </cell>
          <cell r="F362">
            <v>361</v>
          </cell>
          <cell r="H362" t="str">
            <v>WMP</v>
          </cell>
          <cell r="I362" t="str">
            <v>SAFEFAST</v>
          </cell>
        </row>
        <row r="363">
          <cell r="B363" t="str">
            <v>5848</v>
          </cell>
          <cell r="C363" t="str">
            <v>WM+ TQG Thôn 31, Hàm Yên</v>
          </cell>
          <cell r="D363" t="str">
            <v>T. Tuyên Quang</v>
          </cell>
          <cell r="E363" t="str">
            <v>H. Hàm Yên</v>
          </cell>
          <cell r="F363">
            <v>362</v>
          </cell>
          <cell r="H363" t="str">
            <v>WMP</v>
          </cell>
          <cell r="I363" t="str">
            <v>SAFEFAST</v>
          </cell>
        </row>
        <row r="364">
          <cell r="B364" t="str">
            <v>6012</v>
          </cell>
          <cell r="C364" t="str">
            <v>WM+ TQG Làng Mãn 1, Hàm Yên</v>
          </cell>
          <cell r="D364" t="str">
            <v>T. Tuyên Quang</v>
          </cell>
          <cell r="E364" t="str">
            <v>H. Hàm Yên</v>
          </cell>
          <cell r="F364">
            <v>363</v>
          </cell>
          <cell r="H364" t="str">
            <v>WMP</v>
          </cell>
          <cell r="I364" t="str">
            <v>SAFEFAST</v>
          </cell>
        </row>
        <row r="365">
          <cell r="B365" t="str">
            <v>6053</v>
          </cell>
          <cell r="C365" t="str">
            <v>WM+ TQG TDP Lang Quán, Yên Sơn</v>
          </cell>
          <cell r="D365" t="str">
            <v>T. Tuyên Quang</v>
          </cell>
          <cell r="E365" t="str">
            <v>H. Yên Sơn</v>
          </cell>
          <cell r="F365">
            <v>364</v>
          </cell>
          <cell r="H365" t="str">
            <v>WMP</v>
          </cell>
          <cell r="I365" t="str">
            <v>SAFEFAST</v>
          </cell>
        </row>
        <row r="366">
          <cell r="B366" t="str">
            <v>5598</v>
          </cell>
          <cell r="C366" t="str">
            <v>WM+ TQG Xóm 8 xã Trung Môn</v>
          </cell>
          <cell r="D366" t="str">
            <v>T. Tuyên Quang</v>
          </cell>
          <cell r="E366" t="str">
            <v>H. Yên Sơn</v>
          </cell>
          <cell r="F366">
            <v>365</v>
          </cell>
          <cell r="H366" t="str">
            <v>WMP</v>
          </cell>
          <cell r="I366" t="str">
            <v>SAFEFAST</v>
          </cell>
        </row>
        <row r="367">
          <cell r="B367" t="str">
            <v>6819</v>
          </cell>
          <cell r="C367" t="str">
            <v>WM+ TQG 328 Trường Chinh</v>
          </cell>
          <cell r="D367" t="str">
            <v>T. Tuyên Quang</v>
          </cell>
          <cell r="E367" t="str">
            <v>TP. Tuyên Quang</v>
          </cell>
          <cell r="F367">
            <v>366</v>
          </cell>
          <cell r="H367" t="str">
            <v>WMP</v>
          </cell>
          <cell r="I367" t="str">
            <v>SAFEFAST</v>
          </cell>
        </row>
        <row r="368">
          <cell r="B368" t="str">
            <v>4666</v>
          </cell>
          <cell r="C368" t="str">
            <v>WM+ TQG 11 - 13 Trường Chinh</v>
          </cell>
          <cell r="D368" t="str">
            <v>T. Tuyên Quang</v>
          </cell>
          <cell r="E368" t="str">
            <v>TP. Tuyên Quang</v>
          </cell>
          <cell r="F368">
            <v>367</v>
          </cell>
          <cell r="H368" t="str">
            <v>WMP</v>
          </cell>
          <cell r="I368" t="str">
            <v>SAFEFAST</v>
          </cell>
        </row>
        <row r="369">
          <cell r="B369" t="str">
            <v>6028</v>
          </cell>
          <cell r="C369" t="str">
            <v>WM+ TQG 218 Lê Duẩn</v>
          </cell>
          <cell r="D369" t="str">
            <v>T. Tuyên Quang</v>
          </cell>
          <cell r="E369" t="str">
            <v>TP. Tuyên Quang</v>
          </cell>
          <cell r="F369">
            <v>368</v>
          </cell>
          <cell r="H369" t="str">
            <v>WMP</v>
          </cell>
          <cell r="I369" t="str">
            <v>SAFEFAST</v>
          </cell>
        </row>
        <row r="370">
          <cell r="B370" t="str">
            <v>4798</v>
          </cell>
          <cell r="C370" t="str">
            <v>WM+ TQG 10 Lê Duẩn P.Phan Thiết</v>
          </cell>
          <cell r="D370" t="str">
            <v>T. Tuyên Quang</v>
          </cell>
          <cell r="E370" t="str">
            <v>TP. Tuyên Quang</v>
          </cell>
          <cell r="F370">
            <v>369</v>
          </cell>
          <cell r="H370" t="str">
            <v>WMP</v>
          </cell>
          <cell r="I370" t="str">
            <v>SAFEFAST</v>
          </cell>
        </row>
        <row r="371">
          <cell r="B371" t="str">
            <v>1601</v>
          </cell>
          <cell r="C371" t="str">
            <v>WM VCP TQG Tuyên Quang</v>
          </cell>
          <cell r="D371" t="str">
            <v>T. Tuyên Quang</v>
          </cell>
          <cell r="E371" t="str">
            <v>TP. Tuyên Quang</v>
          </cell>
          <cell r="F371">
            <v>370</v>
          </cell>
          <cell r="H371" t="str">
            <v>WMP</v>
          </cell>
          <cell r="I371" t="str">
            <v>SAFEFAST</v>
          </cell>
        </row>
        <row r="372">
          <cell r="B372" t="str">
            <v>4586</v>
          </cell>
          <cell r="C372" t="str">
            <v>WM+ TQG Tổ 16 phường Tân Quang</v>
          </cell>
          <cell r="D372" t="str">
            <v>T. Tuyên Quang</v>
          </cell>
          <cell r="E372" t="str">
            <v>TP. Tuyên Quang</v>
          </cell>
          <cell r="F372">
            <v>371</v>
          </cell>
          <cell r="H372" t="str">
            <v>WMP</v>
          </cell>
          <cell r="I372" t="str">
            <v>SAFEFAST</v>
          </cell>
        </row>
        <row r="373">
          <cell r="B373" t="str">
            <v>2CGT</v>
          </cell>
          <cell r="C373" t="str">
            <v>WM+ TQG 99 Tân Trào</v>
          </cell>
          <cell r="D373" t="str">
            <v>T. Tuyên Quang</v>
          </cell>
          <cell r="E373" t="str">
            <v>TP. Tuyên Quang</v>
          </cell>
          <cell r="F373">
            <v>372</v>
          </cell>
          <cell r="H373" t="str">
            <v>WMP</v>
          </cell>
          <cell r="I373" t="str">
            <v>SAFEFAST</v>
          </cell>
        </row>
        <row r="374">
          <cell r="B374" t="str">
            <v>4596</v>
          </cell>
          <cell r="C374" t="str">
            <v>WM+ TQG 102 Phan Thiết</v>
          </cell>
          <cell r="D374" t="str">
            <v>T. Tuyên Quang</v>
          </cell>
          <cell r="E374" t="str">
            <v>TP. Tuyên Quang</v>
          </cell>
          <cell r="F374">
            <v>373</v>
          </cell>
          <cell r="H374" t="str">
            <v>WMP</v>
          </cell>
          <cell r="I374" t="str">
            <v>SAFEFAST</v>
          </cell>
        </row>
        <row r="375">
          <cell r="B375" t="str">
            <v>4815</v>
          </cell>
          <cell r="C375" t="str">
            <v>WM+ TQG 288 đường 17/8</v>
          </cell>
          <cell r="D375" t="str">
            <v>T. Tuyên Quang</v>
          </cell>
          <cell r="E375" t="str">
            <v>TP. Tuyên Quang</v>
          </cell>
          <cell r="F375">
            <v>374</v>
          </cell>
          <cell r="H375" t="str">
            <v>WMP</v>
          </cell>
          <cell r="I375" t="str">
            <v>SAFEFAST</v>
          </cell>
        </row>
        <row r="376">
          <cell r="B376" t="str">
            <v>5597</v>
          </cell>
          <cell r="C376" t="str">
            <v>WM+ TQG Tổ 4 Phường Nông Tiến</v>
          </cell>
          <cell r="D376" t="str">
            <v>T. Tuyên Quang</v>
          </cell>
          <cell r="E376" t="str">
            <v>TP. Tuyên Quang</v>
          </cell>
          <cell r="F376">
            <v>375</v>
          </cell>
          <cell r="H376" t="str">
            <v>WMP</v>
          </cell>
          <cell r="I376" t="str">
            <v>SAFEFAST</v>
          </cell>
        </row>
        <row r="377">
          <cell r="B377" t="str">
            <v>6335</v>
          </cell>
          <cell r="C377" t="str">
            <v>WM+ TQG 347 Phạm Văn Đồng</v>
          </cell>
          <cell r="D377" t="str">
            <v>T. Tuyên Quang</v>
          </cell>
          <cell r="E377" t="str">
            <v>TP. Tuyên Quang</v>
          </cell>
          <cell r="F377">
            <v>376</v>
          </cell>
          <cell r="H377" t="str">
            <v>WMP</v>
          </cell>
          <cell r="I377" t="str">
            <v>SAFEFAST</v>
          </cell>
        </row>
        <row r="378">
          <cell r="B378" t="str">
            <v>4690</v>
          </cell>
          <cell r="C378" t="str">
            <v>WM+ TQG Đức Hùng Plaza</v>
          </cell>
          <cell r="D378" t="str">
            <v>T. Tuyên Quang</v>
          </cell>
          <cell r="E378" t="str">
            <v>TP. Tuyên Quang</v>
          </cell>
          <cell r="F378">
            <v>377</v>
          </cell>
          <cell r="H378" t="str">
            <v>WMP</v>
          </cell>
          <cell r="I378" t="str">
            <v>SAFEFAST</v>
          </cell>
        </row>
        <row r="379">
          <cell r="B379" t="str">
            <v>5981</v>
          </cell>
          <cell r="C379" t="str">
            <v>WM+ TQG Thôn 4, Lưỡng Vượng</v>
          </cell>
          <cell r="D379" t="str">
            <v>T. Tuyên Quang</v>
          </cell>
          <cell r="E379" t="str">
            <v>TP. Tuyên Quang</v>
          </cell>
          <cell r="F379">
            <v>378</v>
          </cell>
          <cell r="H379" t="str">
            <v>WMP</v>
          </cell>
          <cell r="I379" t="str">
            <v>SAFEFAST</v>
          </cell>
        </row>
        <row r="380">
          <cell r="B380" t="str">
            <v>4711</v>
          </cell>
          <cell r="C380" t="str">
            <v>WM+ TQG Thôn 1 Đội Cấn</v>
          </cell>
          <cell r="D380" t="str">
            <v>T. Tuyên Quang</v>
          </cell>
          <cell r="E380" t="str">
            <v>TP. Tuyên Quang</v>
          </cell>
          <cell r="F380">
            <v>379</v>
          </cell>
          <cell r="H380" t="str">
            <v>WMP</v>
          </cell>
          <cell r="I380" t="str">
            <v>SAFEFAST</v>
          </cell>
        </row>
        <row r="381">
          <cell r="B381" t="str">
            <v>2BXI</v>
          </cell>
          <cell r="C381" t="str">
            <v>WM+ TQG 164 Tổ 9, Bình Thuận</v>
          </cell>
          <cell r="D381" t="str">
            <v>T. Tuyên Quang</v>
          </cell>
          <cell r="E381" t="str">
            <v>TP. Tuyên Quang</v>
          </cell>
          <cell r="F381">
            <v>380</v>
          </cell>
          <cell r="H381" t="str">
            <v>WMP</v>
          </cell>
          <cell r="I381" t="str">
            <v>SAFEFAST</v>
          </cell>
        </row>
        <row r="382">
          <cell r="B382" t="str">
            <v>2BSV</v>
          </cell>
          <cell r="C382" t="str">
            <v>WM+ TQG 205 Võ Chí Công</v>
          </cell>
          <cell r="D382" t="str">
            <v>T. Tuyên Quang</v>
          </cell>
          <cell r="E382" t="str">
            <v>TP. Tuyên Quang</v>
          </cell>
          <cell r="F382">
            <v>381</v>
          </cell>
          <cell r="H382" t="str">
            <v>WMP</v>
          </cell>
          <cell r="I382" t="str">
            <v>SAFEFAST</v>
          </cell>
        </row>
        <row r="383">
          <cell r="B383" t="str">
            <v>2CAV</v>
          </cell>
          <cell r="C383" t="str">
            <v>WM+ TQG Trung Môn 17, Minh Xuân</v>
          </cell>
          <cell r="D383" t="str">
            <v>T. Tuyên Quang</v>
          </cell>
          <cell r="E383" t="str">
            <v>TP. Tuyên Quang</v>
          </cell>
          <cell r="F383">
            <v>382</v>
          </cell>
          <cell r="H383" t="str">
            <v>WMP</v>
          </cell>
          <cell r="I383" t="str">
            <v>SAFEFAST</v>
          </cell>
        </row>
        <row r="384">
          <cell r="B384" t="str">
            <v>2BWM</v>
          </cell>
          <cell r="C384" t="str">
            <v>WM+ TQG 171 Nguyễn Chí Thanh</v>
          </cell>
          <cell r="D384" t="str">
            <v>T. Tuyên Quang</v>
          </cell>
          <cell r="E384" t="str">
            <v>TP. Tuyên Quang</v>
          </cell>
          <cell r="F384">
            <v>383</v>
          </cell>
          <cell r="H384" t="str">
            <v>WMP</v>
          </cell>
          <cell r="I384" t="str">
            <v>SAFEFAST</v>
          </cell>
        </row>
        <row r="385">
          <cell r="B385" t="str">
            <v>2ASR</v>
          </cell>
          <cell r="C385" t="str">
            <v>WM+ TQG Lập Thành, Mỹ Bằng</v>
          </cell>
          <cell r="D385" t="str">
            <v>T. Tuyên Quang</v>
          </cell>
          <cell r="E385" t="str">
            <v>H. Yên Sơn</v>
          </cell>
          <cell r="F385">
            <v>384</v>
          </cell>
          <cell r="H385" t="str">
            <v>WMP</v>
          </cell>
          <cell r="I385" t="str">
            <v>SAFEFAST</v>
          </cell>
        </row>
        <row r="386">
          <cell r="B386" t="str">
            <v>2BZS</v>
          </cell>
          <cell r="C386" t="str">
            <v>WM+ TQG Thôn Hòa Bình, Nhữ Khê</v>
          </cell>
          <cell r="D386" t="str">
            <v>T. Tuyên Quang</v>
          </cell>
          <cell r="E386" t="str">
            <v>H. Yên Sơn</v>
          </cell>
          <cell r="F386">
            <v>385</v>
          </cell>
          <cell r="H386" t="str">
            <v>WMP</v>
          </cell>
          <cell r="I386" t="str">
            <v>SAFEFAST</v>
          </cell>
        </row>
        <row r="387">
          <cell r="B387" t="str">
            <v>2BZZ</v>
          </cell>
          <cell r="C387" t="str">
            <v>WM+ TQG Sơn Hạ 4, Xuân Vân</v>
          </cell>
          <cell r="D387" t="str">
            <v>T. Tuyên Quang</v>
          </cell>
          <cell r="E387" t="str">
            <v>H. Yên Sơn</v>
          </cell>
          <cell r="F387">
            <v>386</v>
          </cell>
          <cell r="H387" t="str">
            <v>WMP</v>
          </cell>
          <cell r="I387" t="str">
            <v>SAFEFAST</v>
          </cell>
        </row>
        <row r="388">
          <cell r="B388" t="str">
            <v>2BTI</v>
          </cell>
          <cell r="C388" t="str">
            <v>WM+ TQG TDP Chè Đen 1</v>
          </cell>
          <cell r="D388" t="str">
            <v>T. Tuyên Quang</v>
          </cell>
          <cell r="E388" t="str">
            <v>H. Yên Sơn</v>
          </cell>
          <cell r="F388">
            <v>387</v>
          </cell>
          <cell r="H388" t="str">
            <v>WMP</v>
          </cell>
          <cell r="I388" t="str">
            <v>SAFEFAST</v>
          </cell>
        </row>
        <row r="389">
          <cell r="B389" t="str">
            <v>5982</v>
          </cell>
          <cell r="C389" t="str">
            <v>WM+ TQG Ấm Thắng, Sơn Dương</v>
          </cell>
          <cell r="D389" t="str">
            <v>T. Tuyên Quang</v>
          </cell>
          <cell r="E389" t="str">
            <v>H. Sơn Dương</v>
          </cell>
          <cell r="F389">
            <v>388</v>
          </cell>
          <cell r="H389" t="str">
            <v>WMP</v>
          </cell>
          <cell r="I389" t="str">
            <v>SAFEFAST</v>
          </cell>
        </row>
        <row r="390">
          <cell r="B390" t="str">
            <v>2CGV</v>
          </cell>
          <cell r="C390" t="str">
            <v>WM+ TQG Thôn Ninh Thuận, Sơn Thủy</v>
          </cell>
          <cell r="D390" t="str">
            <v>T. Tuyên Quang</v>
          </cell>
          <cell r="E390" t="str">
            <v>H. Sơn Dương</v>
          </cell>
          <cell r="F390">
            <v>389</v>
          </cell>
          <cell r="H390" t="str">
            <v>WMP</v>
          </cell>
          <cell r="I390" t="str">
            <v>SAFEFAST</v>
          </cell>
        </row>
        <row r="391">
          <cell r="B391" t="str">
            <v>2BWE</v>
          </cell>
          <cell r="C391" t="str">
            <v>WM+ TQG 24 Thôn Tân Tiến 1, Sơn Dương</v>
          </cell>
          <cell r="D391" t="str">
            <v>T. Tuyên Quang</v>
          </cell>
          <cell r="E391" t="str">
            <v>H. Sơn Dương</v>
          </cell>
          <cell r="F391">
            <v>390</v>
          </cell>
          <cell r="H391" t="str">
            <v>WMP</v>
          </cell>
          <cell r="I391" t="str">
            <v>SAFEFAST</v>
          </cell>
        </row>
        <row r="392">
          <cell r="B392" t="str">
            <v>2BXZ</v>
          </cell>
          <cell r="C392" t="str">
            <v>WM+ TQG Thôn Đồng Mụng, Hồng Sơn</v>
          </cell>
          <cell r="D392" t="str">
            <v>T. Tuyên Quang</v>
          </cell>
          <cell r="E392" t="str">
            <v>H. Sơn Dương</v>
          </cell>
          <cell r="F392">
            <v>391</v>
          </cell>
          <cell r="H392" t="str">
            <v>WMP</v>
          </cell>
          <cell r="I392" t="str">
            <v>SAFEFAST</v>
          </cell>
        </row>
        <row r="393">
          <cell r="B393" t="str">
            <v>5838</v>
          </cell>
          <cell r="C393" t="str">
            <v>WM+ TQG TDP Đoàn Kết, Sơn Dương</v>
          </cell>
          <cell r="D393" t="str">
            <v>T. Tuyên Quang</v>
          </cell>
          <cell r="E393" t="str">
            <v>H. Sơn Dương</v>
          </cell>
          <cell r="F393">
            <v>392</v>
          </cell>
          <cell r="H393" t="str">
            <v>WMP</v>
          </cell>
          <cell r="I393" t="str">
            <v>SAFEFAST</v>
          </cell>
        </row>
        <row r="394">
          <cell r="B394" t="str">
            <v>6218</v>
          </cell>
          <cell r="C394" t="str">
            <v>WM+ TQG 03 TDP Tân Bắc, Sơn Dương</v>
          </cell>
          <cell r="D394" t="str">
            <v>T. Tuyên Quang</v>
          </cell>
          <cell r="E394" t="str">
            <v>H. Sơn Dương</v>
          </cell>
          <cell r="F394">
            <v>393</v>
          </cell>
          <cell r="H394" t="str">
            <v>WMP</v>
          </cell>
          <cell r="I394" t="str">
            <v>SAFEFAST</v>
          </cell>
        </row>
        <row r="395">
          <cell r="B395" t="str">
            <v>2CJD</v>
          </cell>
          <cell r="C395" t="str">
            <v>WM+ TQG Thôn Tân Hòa, Sơn Dương</v>
          </cell>
          <cell r="D395" t="str">
            <v>T. Tuyên Quang</v>
          </cell>
          <cell r="E395" t="str">
            <v>H. Sơn Dương</v>
          </cell>
          <cell r="F395">
            <v>394</v>
          </cell>
          <cell r="I395" t="str">
            <v>SAFEFAST</v>
          </cell>
        </row>
        <row r="396">
          <cell r="B396" t="str">
            <v>6252</v>
          </cell>
          <cell r="C396" t="str">
            <v>WM+ TQG 24 TDP Quyết Tiến, Sơn Dương</v>
          </cell>
          <cell r="D396" t="str">
            <v>T. Tuyên Quang</v>
          </cell>
          <cell r="E396" t="str">
            <v>H. Sơn Dương</v>
          </cell>
          <cell r="F396">
            <v>395</v>
          </cell>
          <cell r="H396" t="str">
            <v>WMP</v>
          </cell>
          <cell r="I396" t="str">
            <v>SAFEFAST</v>
          </cell>
        </row>
        <row r="397">
          <cell r="B397" t="str">
            <v>2BVL</v>
          </cell>
          <cell r="C397" t="str">
            <v>WM+ TQG Thôn Cả, Tân Trào</v>
          </cell>
          <cell r="D397" t="str">
            <v>T. Tuyên Quang</v>
          </cell>
          <cell r="E397" t="str">
            <v>H. Sơn Dương</v>
          </cell>
          <cell r="F397">
            <v>396</v>
          </cell>
          <cell r="H397" t="str">
            <v>WMP</v>
          </cell>
          <cell r="I397" t="str">
            <v>SAFEFAST</v>
          </cell>
        </row>
        <row r="398">
          <cell r="B398" t="str">
            <v>2CAU</v>
          </cell>
          <cell r="C398" t="str">
            <v>WM+ TQG 86-88, Đường 13B, Quyết Thắng</v>
          </cell>
          <cell r="D398" t="str">
            <v>T. Tuyên Quang</v>
          </cell>
          <cell r="E398" t="str">
            <v>H. Sơn Dương</v>
          </cell>
          <cell r="F398">
            <v>397</v>
          </cell>
          <cell r="H398" t="str">
            <v>WMP</v>
          </cell>
          <cell r="I398" t="str">
            <v>SAFEFAST</v>
          </cell>
        </row>
        <row r="399">
          <cell r="B399" t="str">
            <v>6363</v>
          </cell>
          <cell r="C399" t="str">
            <v>WM+ YBI 93 Nguyễn Thái Học</v>
          </cell>
          <cell r="D399" t="str">
            <v>T. Yên Bái</v>
          </cell>
          <cell r="E399" t="str">
            <v>TX. Nghĩa Lộ</v>
          </cell>
          <cell r="F399">
            <v>398</v>
          </cell>
          <cell r="H399" t="str">
            <v>WMP</v>
          </cell>
          <cell r="I399" t="str">
            <v>HTVINA</v>
          </cell>
        </row>
        <row r="400">
          <cell r="B400" t="str">
            <v>6523</v>
          </cell>
          <cell r="C400" t="str">
            <v>WM+ YBI 55 Điện Biên</v>
          </cell>
          <cell r="D400" t="str">
            <v>T. Yên Bái</v>
          </cell>
          <cell r="E400" t="str">
            <v>TX. Nghĩa Lộ</v>
          </cell>
          <cell r="F400">
            <v>399</v>
          </cell>
          <cell r="H400" t="str">
            <v>WMP</v>
          </cell>
          <cell r="I400" t="str">
            <v>HTVINA</v>
          </cell>
        </row>
        <row r="401">
          <cell r="B401" t="str">
            <v>2CMD</v>
          </cell>
          <cell r="C401" t="str">
            <v>WM+ LCI Tổ 6, Phường Nghĩa Lộ</v>
          </cell>
          <cell r="D401" t="str">
            <v>T. Yên Bái</v>
          </cell>
          <cell r="E401" t="str">
            <v>TX. Nghĩa Lộ</v>
          </cell>
          <cell r="F401">
            <v>400</v>
          </cell>
          <cell r="I401" t="str">
            <v>HTVINA</v>
          </cell>
        </row>
        <row r="402">
          <cell r="B402" t="str">
            <v>6471</v>
          </cell>
          <cell r="C402" t="str">
            <v>WM+ YBI TDP Trung Tâm, Văn Chấn</v>
          </cell>
          <cell r="D402" t="str">
            <v>T. Yên Bái</v>
          </cell>
          <cell r="E402" t="str">
            <v>H. Văn Chấn</v>
          </cell>
          <cell r="F402">
            <v>401</v>
          </cell>
          <cell r="H402" t="str">
            <v>WMP</v>
          </cell>
          <cell r="I402" t="str">
            <v>HTVINA</v>
          </cell>
        </row>
        <row r="403">
          <cell r="B403" t="str">
            <v>2CCK</v>
          </cell>
          <cell r="C403" t="str">
            <v>WM+ LCI Hồng Sơn, Văn Chấn</v>
          </cell>
          <cell r="D403" t="str">
            <v>T. Yên Bái</v>
          </cell>
          <cell r="E403" t="str">
            <v>H. Văn Chấn</v>
          </cell>
          <cell r="F403">
            <v>402</v>
          </cell>
          <cell r="H403" t="str">
            <v>WMP</v>
          </cell>
          <cell r="I403" t="str">
            <v>HTVINA</v>
          </cell>
        </row>
        <row r="404">
          <cell r="B404" t="str">
            <v>2CDJ</v>
          </cell>
          <cell r="C404" t="str">
            <v>WM+ LCI Thôn Mỵ, Chấn Thịnh</v>
          </cell>
          <cell r="D404" t="str">
            <v>T. Yên Bái</v>
          </cell>
          <cell r="E404" t="str">
            <v>H. Văn Chấn</v>
          </cell>
          <cell r="F404">
            <v>403</v>
          </cell>
          <cell r="H404" t="str">
            <v>WMP</v>
          </cell>
          <cell r="I404" t="str">
            <v>HTVINA</v>
          </cell>
        </row>
        <row r="405">
          <cell r="B405" t="str">
            <v>2AP3</v>
          </cell>
          <cell r="C405" t="str">
            <v>WM+ YBI 479 Yên Thịnh</v>
          </cell>
          <cell r="D405" t="str">
            <v>T. Yên Bái</v>
          </cell>
          <cell r="E405" t="str">
            <v>H. Văn Yên</v>
          </cell>
          <cell r="F405">
            <v>404</v>
          </cell>
          <cell r="H405" t="str">
            <v>WMP</v>
          </cell>
          <cell r="I405" t="str">
            <v>HTVINA</v>
          </cell>
        </row>
        <row r="406">
          <cell r="B406" t="str">
            <v>6297</v>
          </cell>
          <cell r="C406" t="str">
            <v>WM+ YBI 28 Tuệ Tĩnh</v>
          </cell>
          <cell r="D406" t="str">
            <v>T. Yên Bái</v>
          </cell>
          <cell r="E406" t="str">
            <v>H. Văn Yên</v>
          </cell>
          <cell r="F406">
            <v>405</v>
          </cell>
          <cell r="H406" t="str">
            <v>WMP</v>
          </cell>
          <cell r="I406" t="str">
            <v>HTVINA</v>
          </cell>
        </row>
        <row r="407">
          <cell r="B407" t="str">
            <v>2A79</v>
          </cell>
          <cell r="C407" t="str">
            <v>WM+ YBI 251 Lý Thường Kiệt</v>
          </cell>
          <cell r="D407" t="str">
            <v>T. Yên Bái</v>
          </cell>
          <cell r="E407" t="str">
            <v>H. Văn Yên</v>
          </cell>
          <cell r="F407">
            <v>406</v>
          </cell>
          <cell r="H407" t="str">
            <v>WMP</v>
          </cell>
          <cell r="I407" t="str">
            <v>HTVINA</v>
          </cell>
        </row>
        <row r="408">
          <cell r="B408" t="str">
            <v>2CHC</v>
          </cell>
          <cell r="C408" t="str">
            <v>WM+ LCI Thôn Trung Tâm, Đông Cuông</v>
          </cell>
          <cell r="D408" t="str">
            <v>T. Yên Bái</v>
          </cell>
          <cell r="E408" t="str">
            <v>H. Văn Yên</v>
          </cell>
          <cell r="F408">
            <v>407</v>
          </cell>
          <cell r="H408" t="str">
            <v>WMP</v>
          </cell>
          <cell r="I408" t="str">
            <v>HTVINA</v>
          </cell>
        </row>
        <row r="409">
          <cell r="B409" t="str">
            <v>2CNP</v>
          </cell>
          <cell r="C409" t="str">
            <v>WM+ LCI Thôn Bến Đền, Đông Cuông</v>
          </cell>
          <cell r="D409" t="str">
            <v>T. Yên Bái</v>
          </cell>
          <cell r="E409" t="str">
            <v>H. Văn Yên</v>
          </cell>
          <cell r="F409">
            <v>408</v>
          </cell>
          <cell r="H409" t="str">
            <v>WMP</v>
          </cell>
          <cell r="I409" t="str">
            <v>HTVINA</v>
          </cell>
        </row>
        <row r="410">
          <cell r="B410" t="str">
            <v>2AI9</v>
          </cell>
          <cell r="C410" t="str">
            <v>WM+ YBI TDP 6, TT Yên Thế</v>
          </cell>
          <cell r="D410" t="str">
            <v>T. Yên Bái</v>
          </cell>
          <cell r="E410" t="str">
            <v>H. Lục Yên</v>
          </cell>
          <cell r="F410">
            <v>409</v>
          </cell>
          <cell r="H410" t="str">
            <v>WMP</v>
          </cell>
          <cell r="I410" t="str">
            <v>HTVINA</v>
          </cell>
        </row>
        <row r="411">
          <cell r="B411" t="str">
            <v>2CHB</v>
          </cell>
          <cell r="C411" t="str">
            <v>WM+ LCI Thôn Tát Diêu, Khánh Hòa</v>
          </cell>
          <cell r="D411" t="str">
            <v>T. Yên Bái</v>
          </cell>
          <cell r="E411" t="str">
            <v>H. Lục Yên</v>
          </cell>
          <cell r="F411">
            <v>410</v>
          </cell>
          <cell r="H411" t="str">
            <v>WMP</v>
          </cell>
          <cell r="I411" t="str">
            <v>HTVINA</v>
          </cell>
        </row>
        <row r="412">
          <cell r="B412" t="str">
            <v>2A43</v>
          </cell>
          <cell r="C412" t="str">
            <v>WM+ YBI Đoàn Kết, Yên Bình</v>
          </cell>
          <cell r="D412" t="str">
            <v>T. Yên Bái</v>
          </cell>
          <cell r="E412" t="str">
            <v>H. Yên Bình</v>
          </cell>
          <cell r="F412">
            <v>411</v>
          </cell>
          <cell r="H412" t="str">
            <v>WMP</v>
          </cell>
          <cell r="I412" t="str">
            <v>HTVINA</v>
          </cell>
        </row>
        <row r="413">
          <cell r="B413" t="str">
            <v>2CJX</v>
          </cell>
          <cell r="C413" t="str">
            <v>WM+ LCI Thôn Phạ 1, Cảm Nhân</v>
          </cell>
          <cell r="D413" t="str">
            <v>T. Yên Bái</v>
          </cell>
          <cell r="E413" t="str">
            <v>H. Yên Bình</v>
          </cell>
          <cell r="F413">
            <v>412</v>
          </cell>
          <cell r="H413" t="str">
            <v>WMP</v>
          </cell>
          <cell r="I413" t="str">
            <v>HTVINA</v>
          </cell>
        </row>
        <row r="414">
          <cell r="B414" t="str">
            <v>2CKS</v>
          </cell>
          <cell r="C414" t="str">
            <v xml:space="preserve">WM+ LCI Thôn Khe Hùm, X. Bảo Ái </v>
          </cell>
          <cell r="D414" t="str">
            <v>T. Yên Bái</v>
          </cell>
          <cell r="E414" t="str">
            <v>H. Yên Bình</v>
          </cell>
          <cell r="F414">
            <v>413</v>
          </cell>
          <cell r="H414" t="str">
            <v>WMP</v>
          </cell>
          <cell r="I414" t="str">
            <v>HTVINA</v>
          </cell>
        </row>
        <row r="415">
          <cell r="B415" t="str">
            <v>4997</v>
          </cell>
          <cell r="C415" t="str">
            <v>WM+ YBI 352 Đường Đại Đồng-Yên Bình</v>
          </cell>
          <cell r="D415" t="str">
            <v>T. Yên Bái</v>
          </cell>
          <cell r="E415" t="str">
            <v>H. Yên Bình</v>
          </cell>
          <cell r="F415">
            <v>414</v>
          </cell>
          <cell r="H415" t="str">
            <v>WMP</v>
          </cell>
          <cell r="I415" t="str">
            <v>HTVINA</v>
          </cell>
        </row>
        <row r="416">
          <cell r="B416" t="str">
            <v>6914</v>
          </cell>
          <cell r="C416" t="str">
            <v>WM+ YBI 701 Đại Đồng</v>
          </cell>
          <cell r="D416" t="str">
            <v>T. Yên Bái</v>
          </cell>
          <cell r="E416" t="str">
            <v>H. Yên Bình</v>
          </cell>
          <cell r="F416">
            <v>415</v>
          </cell>
          <cell r="H416" t="str">
            <v>WMP</v>
          </cell>
          <cell r="I416" t="str">
            <v>HTVINA</v>
          </cell>
        </row>
        <row r="417">
          <cell r="B417" t="str">
            <v>4992</v>
          </cell>
          <cell r="C417" t="str">
            <v>WM+ YBI 1132 Đinh Tiên Hoàng</v>
          </cell>
          <cell r="D417" t="str">
            <v>T. Yên Bái</v>
          </cell>
          <cell r="E417" t="str">
            <v>H. Yên Bình</v>
          </cell>
          <cell r="F417">
            <v>416</v>
          </cell>
          <cell r="H417" t="str">
            <v>WMP</v>
          </cell>
          <cell r="I417" t="str">
            <v>HTVINA</v>
          </cell>
        </row>
        <row r="418">
          <cell r="B418" t="str">
            <v>2BTU</v>
          </cell>
          <cell r="C418" t="str">
            <v>WM+ LCI 59 Thôn Lương An</v>
          </cell>
          <cell r="D418" t="str">
            <v>T. Yên Bái</v>
          </cell>
          <cell r="E418" t="str">
            <v>H. Trấn Yên</v>
          </cell>
          <cell r="F418">
            <v>417</v>
          </cell>
          <cell r="H418" t="str">
            <v>WMP</v>
          </cell>
          <cell r="I418" t="str">
            <v>HTVINA</v>
          </cell>
        </row>
        <row r="419">
          <cell r="B419" t="str">
            <v>2BZD</v>
          </cell>
          <cell r="C419" t="str">
            <v>WM+ LCI Thôn Phố Hóp, Trấn Yên</v>
          </cell>
          <cell r="D419" t="str">
            <v>T. Yên Bái</v>
          </cell>
          <cell r="E419" t="str">
            <v>H. Trấn Yên</v>
          </cell>
          <cell r="F419">
            <v>418</v>
          </cell>
          <cell r="H419" t="str">
            <v>WMP</v>
          </cell>
          <cell r="I419" t="str">
            <v>HTVINA</v>
          </cell>
        </row>
        <row r="420">
          <cell r="B420" t="str">
            <v>6041</v>
          </cell>
          <cell r="C420" t="str">
            <v>WM+ YBI 486 Đinh Tiên Hoàng</v>
          </cell>
          <cell r="D420" t="str">
            <v>T. Yên Bái</v>
          </cell>
          <cell r="E420" t="str">
            <v>TP. Yên Bái</v>
          </cell>
          <cell r="F420">
            <v>419</v>
          </cell>
          <cell r="H420" t="str">
            <v>WMP</v>
          </cell>
          <cell r="I420" t="str">
            <v>HTVINA</v>
          </cell>
        </row>
        <row r="421">
          <cell r="B421" t="str">
            <v>2CEN</v>
          </cell>
          <cell r="C421" t="str">
            <v>WM+ LCI TDP Nước Mát, Âu Lâu</v>
          </cell>
          <cell r="D421" t="str">
            <v>T. Yên Bái</v>
          </cell>
          <cell r="E421" t="str">
            <v>TP. Yên Bái</v>
          </cell>
          <cell r="F421">
            <v>420</v>
          </cell>
          <cell r="I421" t="str">
            <v>HTVINA</v>
          </cell>
        </row>
        <row r="422">
          <cell r="B422" t="str">
            <v>2CMC</v>
          </cell>
          <cell r="C422" t="str">
            <v>WM+ LCI 451 Hòa Bình, Yên Bái</v>
          </cell>
          <cell r="D422" t="str">
            <v>T. Yên Bái</v>
          </cell>
          <cell r="E422" t="str">
            <v>TP. Yên Bái</v>
          </cell>
          <cell r="F422">
            <v>421</v>
          </cell>
          <cell r="I422" t="str">
            <v>HTVINA</v>
          </cell>
        </row>
        <row r="423">
          <cell r="B423" t="str">
            <v>4903</v>
          </cell>
          <cell r="C423" t="str">
            <v>WM+ YBI 142 Đinh Tiên Hoàng</v>
          </cell>
          <cell r="D423" t="str">
            <v>T. Yên Bái</v>
          </cell>
          <cell r="E423" t="str">
            <v>TP. Yên Bái</v>
          </cell>
          <cell r="F423">
            <v>422</v>
          </cell>
          <cell r="H423" t="str">
            <v>WMP</v>
          </cell>
          <cell r="I423" t="str">
            <v>HTVINA</v>
          </cell>
        </row>
        <row r="424">
          <cell r="B424" t="str">
            <v>2BVA</v>
          </cell>
          <cell r="C424" t="str">
            <v>WM+ LCI 211 Đinh Tiên Hoàng</v>
          </cell>
          <cell r="D424" t="str">
            <v>T. Yên Bái</v>
          </cell>
          <cell r="E424" t="str">
            <v>TP. Yên Bái</v>
          </cell>
          <cell r="F424">
            <v>423</v>
          </cell>
          <cell r="H424" t="str">
            <v>WMP</v>
          </cell>
          <cell r="I424" t="str">
            <v>HTVINA</v>
          </cell>
        </row>
        <row r="425">
          <cell r="B425" t="str">
            <v>6557</v>
          </cell>
          <cell r="C425" t="str">
            <v>WM+ YBI 111 Nguyễn Tất Thành</v>
          </cell>
          <cell r="D425" t="str">
            <v>T. Yên Bái</v>
          </cell>
          <cell r="E425" t="str">
            <v>TP. Yên Bái</v>
          </cell>
          <cell r="F425">
            <v>424</v>
          </cell>
          <cell r="H425" t="str">
            <v>WMP</v>
          </cell>
          <cell r="I425" t="str">
            <v>HTVINA</v>
          </cell>
        </row>
        <row r="426">
          <cell r="B426" t="str">
            <v>5003</v>
          </cell>
          <cell r="C426" t="str">
            <v>WM+ YBI Số 2 Quang Trung-Đồng Tâm</v>
          </cell>
          <cell r="D426" t="str">
            <v>T. Yên Bái</v>
          </cell>
          <cell r="E426" t="str">
            <v>TP. Yên Bái</v>
          </cell>
          <cell r="F426">
            <v>425</v>
          </cell>
          <cell r="H426" t="str">
            <v>WMP</v>
          </cell>
          <cell r="I426" t="str">
            <v>HTVINA</v>
          </cell>
        </row>
        <row r="427">
          <cell r="B427" t="str">
            <v>2AEU</v>
          </cell>
          <cell r="C427" t="str">
            <v>WM+ YBI 551 Điện Biên</v>
          </cell>
          <cell r="D427" t="str">
            <v>T. Yên Bái</v>
          </cell>
          <cell r="E427" t="str">
            <v>TP. Yên Bái</v>
          </cell>
          <cell r="F427">
            <v>426</v>
          </cell>
          <cell r="H427" t="str">
            <v>WMP</v>
          </cell>
          <cell r="I427" t="str">
            <v>HTVINA</v>
          </cell>
        </row>
        <row r="428">
          <cell r="B428" t="str">
            <v>5728</v>
          </cell>
          <cell r="C428" t="str">
            <v>WM+ YBI 1016 Yên Ninh</v>
          </cell>
          <cell r="D428" t="str">
            <v>T. Yên Bái</v>
          </cell>
          <cell r="E428" t="str">
            <v>TP. Yên Bái</v>
          </cell>
          <cell r="F428">
            <v>427</v>
          </cell>
          <cell r="H428" t="str">
            <v>WMP</v>
          </cell>
          <cell r="I428" t="str">
            <v>HTVINA</v>
          </cell>
        </row>
        <row r="429">
          <cell r="B429" t="str">
            <v>5898</v>
          </cell>
          <cell r="C429" t="str">
            <v>WM+ YBI 326 Điện Biên</v>
          </cell>
          <cell r="D429" t="str">
            <v>T. Yên Bái</v>
          </cell>
          <cell r="E429" t="str">
            <v>TP. Yên Bái</v>
          </cell>
          <cell r="F429">
            <v>428</v>
          </cell>
          <cell r="H429" t="str">
            <v>WMP</v>
          </cell>
          <cell r="I429" t="str">
            <v>HTVINA</v>
          </cell>
        </row>
        <row r="430">
          <cell r="B430" t="str">
            <v>6647</v>
          </cell>
          <cell r="C430" t="str">
            <v>WM+ YBI 64 Phạm Văn Đồng</v>
          </cell>
          <cell r="D430" t="str">
            <v>T. Yên Bái</v>
          </cell>
          <cell r="E430" t="str">
            <v>TP. Yên Bái</v>
          </cell>
          <cell r="F430">
            <v>429</v>
          </cell>
          <cell r="H430" t="str">
            <v>WMP</v>
          </cell>
          <cell r="I430" t="str">
            <v>HTVINA</v>
          </cell>
        </row>
        <row r="431">
          <cell r="B431" t="str">
            <v>6966</v>
          </cell>
          <cell r="C431" t="str">
            <v>WM+ YBI 385 Lê Hồng Phong</v>
          </cell>
          <cell r="D431" t="str">
            <v>T. Yên Bái</v>
          </cell>
          <cell r="E431" t="str">
            <v>TP. Yên Bái</v>
          </cell>
          <cell r="F431">
            <v>430</v>
          </cell>
          <cell r="H431" t="str">
            <v>WMP</v>
          </cell>
          <cell r="I431" t="str">
            <v>HTVINA</v>
          </cell>
        </row>
        <row r="432">
          <cell r="B432" t="str">
            <v>4916</v>
          </cell>
          <cell r="C432" t="str">
            <v>WM+ YBI 12 Lê Hồng Phong</v>
          </cell>
          <cell r="D432" t="str">
            <v>T. Yên Bái</v>
          </cell>
          <cell r="E432" t="str">
            <v>TP. Yên Bái</v>
          </cell>
          <cell r="F432">
            <v>431</v>
          </cell>
          <cell r="H432" t="str">
            <v>WMP</v>
          </cell>
          <cell r="I432" t="str">
            <v>HTVINA</v>
          </cell>
        </row>
        <row r="433">
          <cell r="B433" t="str">
            <v>1594</v>
          </cell>
          <cell r="C433" t="str">
            <v>WM VCP YBI Yên Bái</v>
          </cell>
          <cell r="D433" t="str">
            <v>T. Yên Bái</v>
          </cell>
          <cell r="E433" t="str">
            <v>TP. Yên Bái</v>
          </cell>
          <cell r="F433">
            <v>432</v>
          </cell>
          <cell r="H433" t="str">
            <v>WMP</v>
          </cell>
          <cell r="I433" t="str">
            <v>HTVINA</v>
          </cell>
        </row>
        <row r="434">
          <cell r="B434" t="str">
            <v>5726</v>
          </cell>
          <cell r="C434" t="str">
            <v>WM+ YBI 525 Đại Lộ Nguyễn Thái Học</v>
          </cell>
          <cell r="D434" t="str">
            <v>T. Yên Bái</v>
          </cell>
          <cell r="E434" t="str">
            <v>TP. Yên Bái</v>
          </cell>
          <cell r="F434">
            <v>433</v>
          </cell>
          <cell r="H434" t="str">
            <v>WMP</v>
          </cell>
          <cell r="I434" t="str">
            <v>HTVINA</v>
          </cell>
        </row>
        <row r="435">
          <cell r="B435" t="str">
            <v>5100</v>
          </cell>
          <cell r="C435" t="str">
            <v>WM+ YBI 102 Đại Lộ Nguyễn Thái Học</v>
          </cell>
          <cell r="D435" t="str">
            <v>T. Yên Bái</v>
          </cell>
          <cell r="E435" t="str">
            <v>TP. Yên Bái</v>
          </cell>
          <cell r="F435">
            <v>434</v>
          </cell>
          <cell r="H435" t="str">
            <v>WMP</v>
          </cell>
          <cell r="I435" t="str">
            <v>HTVINA</v>
          </cell>
        </row>
        <row r="436">
          <cell r="B436" t="str">
            <v>4993</v>
          </cell>
          <cell r="C436" t="str">
            <v>WM+ YBI 150A Đường Hoàng Hoa Thám</v>
          </cell>
          <cell r="D436" t="str">
            <v>T. Yên Bái</v>
          </cell>
          <cell r="E436" t="str">
            <v>TP. Yên Bái</v>
          </cell>
          <cell r="F436">
            <v>435</v>
          </cell>
          <cell r="H436" t="str">
            <v>WMP</v>
          </cell>
          <cell r="I436" t="str">
            <v>HTVINA</v>
          </cell>
        </row>
        <row r="437">
          <cell r="B437" t="str">
            <v>2AIV</v>
          </cell>
          <cell r="C437" t="str">
            <v>WM+ YBI 070 Ngô Minh Loan</v>
          </cell>
          <cell r="D437" t="str">
            <v>T. Yên Bái</v>
          </cell>
          <cell r="E437" t="str">
            <v>TP. Yên Bái</v>
          </cell>
          <cell r="F437">
            <v>436</v>
          </cell>
          <cell r="H437" t="str">
            <v>WMP</v>
          </cell>
          <cell r="I437" t="str">
            <v>HTVINA</v>
          </cell>
        </row>
        <row r="438">
          <cell r="B438" t="str">
            <v>2BJV</v>
          </cell>
          <cell r="C438" t="str">
            <v>WM+ LCI Minh Thân, Thác Bà</v>
          </cell>
          <cell r="D438" t="str">
            <v>T. Yên Bái</v>
          </cell>
          <cell r="E438" t="str">
            <v>TT. Thác Bà</v>
          </cell>
          <cell r="F438">
            <v>437</v>
          </cell>
          <cell r="H438" t="str">
            <v>WMP</v>
          </cell>
          <cell r="I438" t="str">
            <v>HTVINA</v>
          </cell>
        </row>
        <row r="439">
          <cell r="B439" t="str">
            <v>2ADH</v>
          </cell>
          <cell r="C439" t="str">
            <v>WM+ DBN 175 Tổ 2, Na Lay</v>
          </cell>
          <cell r="D439" t="str">
            <v>T. Điện Biên</v>
          </cell>
          <cell r="E439" t="str">
            <v>TX. Mường Lay</v>
          </cell>
          <cell r="F439">
            <v>438</v>
          </cell>
          <cell r="H439" t="str">
            <v>WMP</v>
          </cell>
          <cell r="I439" t="str">
            <v>VIETTEL</v>
          </cell>
        </row>
        <row r="440">
          <cell r="B440" t="str">
            <v>2BOU</v>
          </cell>
          <cell r="C440" t="str">
            <v>WM+ DBN Tổ 5, Na Sang</v>
          </cell>
          <cell r="D440" t="str">
            <v>T. Điện Biên</v>
          </cell>
          <cell r="E440" t="str">
            <v>H. Mường Chà</v>
          </cell>
          <cell r="F440">
            <v>439</v>
          </cell>
          <cell r="H440" t="str">
            <v>WMP</v>
          </cell>
          <cell r="I440" t="str">
            <v>VIETTEL</v>
          </cell>
        </row>
        <row r="441">
          <cell r="B441" t="str">
            <v>6578</v>
          </cell>
          <cell r="C441" t="str">
            <v>WM+ DBN 336 Tổ 7, Thanh Bình</v>
          </cell>
          <cell r="D441" t="str">
            <v>T. Điện Biên</v>
          </cell>
          <cell r="E441" t="str">
            <v>H. Điện Biên</v>
          </cell>
          <cell r="F441">
            <v>440</v>
          </cell>
          <cell r="H441" t="str">
            <v>WMP</v>
          </cell>
          <cell r="I441" t="str">
            <v>VIETTEL</v>
          </cell>
        </row>
        <row r="442">
          <cell r="B442" t="str">
            <v>2AKA</v>
          </cell>
          <cell r="C442" t="str">
            <v>WM+ DBN Thôn 4, Pom Lót</v>
          </cell>
          <cell r="D442" t="str">
            <v>T. Điện Biên</v>
          </cell>
          <cell r="E442" t="str">
            <v>H. Điện Biên</v>
          </cell>
          <cell r="F442">
            <v>441</v>
          </cell>
          <cell r="H442" t="str">
            <v>WMP</v>
          </cell>
          <cell r="I442" t="str">
            <v>VIETTEL</v>
          </cell>
        </row>
        <row r="443">
          <cell r="B443" t="str">
            <v>6294</v>
          </cell>
          <cell r="C443" t="str">
            <v>WM+ DBN Thôn 24 Noong Hẹt</v>
          </cell>
          <cell r="D443" t="str">
            <v>T. Điện Biên</v>
          </cell>
          <cell r="E443" t="str">
            <v>H. Điện Biên</v>
          </cell>
          <cell r="F443">
            <v>442</v>
          </cell>
          <cell r="H443" t="str">
            <v>WMP</v>
          </cell>
          <cell r="I443" t="str">
            <v>VIETTEL</v>
          </cell>
        </row>
        <row r="444">
          <cell r="B444" t="str">
            <v>6296</v>
          </cell>
          <cell r="C444" t="str">
            <v>WM+ DBN Tổ 7 Nam Thanh</v>
          </cell>
          <cell r="D444" t="str">
            <v>T. Điện Biên</v>
          </cell>
          <cell r="E444" t="str">
            <v>TP. Điện Biên Phủ</v>
          </cell>
          <cell r="F444">
            <v>443</v>
          </cell>
          <cell r="H444" t="str">
            <v>WMP</v>
          </cell>
          <cell r="I444" t="str">
            <v>VIETTEL</v>
          </cell>
        </row>
        <row r="445">
          <cell r="B445" t="str">
            <v>6298</v>
          </cell>
          <cell r="C445" t="str">
            <v>WM+ DBN 27 Trường Chinh</v>
          </cell>
          <cell r="D445" t="str">
            <v>T. Điện Biên</v>
          </cell>
          <cell r="E445" t="str">
            <v>TP. Điện Biên Phủ</v>
          </cell>
          <cell r="F445">
            <v>444</v>
          </cell>
          <cell r="H445" t="str">
            <v>WMP</v>
          </cell>
          <cell r="I445" t="str">
            <v>VIETTEL</v>
          </cell>
        </row>
        <row r="446">
          <cell r="B446" t="str">
            <v>6292</v>
          </cell>
          <cell r="C446" t="str">
            <v>WM+ DBN Tổ 6 Noong Bua</v>
          </cell>
          <cell r="D446" t="str">
            <v>T. Điện Biên</v>
          </cell>
          <cell r="E446" t="str">
            <v>TP. Điện Biên Phủ</v>
          </cell>
          <cell r="F446">
            <v>445</v>
          </cell>
          <cell r="H446" t="str">
            <v>WMP</v>
          </cell>
          <cell r="I446" t="str">
            <v>VIETTEL</v>
          </cell>
        </row>
        <row r="447">
          <cell r="B447" t="str">
            <v>6287</v>
          </cell>
          <cell r="C447" t="str">
            <v>WM+ DBN 310 Trường Chinh</v>
          </cell>
          <cell r="D447" t="str">
            <v>T. Điện Biên</v>
          </cell>
          <cell r="E447" t="str">
            <v>H. Điện Biên</v>
          </cell>
          <cell r="F447">
            <v>446</v>
          </cell>
          <cell r="H447" t="str">
            <v>WMP</v>
          </cell>
          <cell r="I447" t="str">
            <v>VIETTEL</v>
          </cell>
        </row>
        <row r="448">
          <cell r="B448" t="str">
            <v>6310</v>
          </cell>
          <cell r="C448" t="str">
            <v>WM+ DBN 310 Tổ 9 Him Lam</v>
          </cell>
          <cell r="D448" t="str">
            <v>T. Điện Biên</v>
          </cell>
          <cell r="E448" t="str">
            <v>H. Điện Biên</v>
          </cell>
          <cell r="F448">
            <v>447</v>
          </cell>
          <cell r="H448" t="str">
            <v>WMP</v>
          </cell>
          <cell r="I448" t="str">
            <v>VIETTEL</v>
          </cell>
        </row>
        <row r="449">
          <cell r="B449" t="str">
            <v>2BPA</v>
          </cell>
          <cell r="C449" t="str">
            <v>WM+ DBN Trung Tâm 1, Nà Tấu</v>
          </cell>
          <cell r="D449" t="str">
            <v>T. Điện Biên</v>
          </cell>
          <cell r="E449" t="str">
            <v>TP. Điện Biên Phủ</v>
          </cell>
          <cell r="F449">
            <v>448</v>
          </cell>
          <cell r="H449" t="str">
            <v>WMP</v>
          </cell>
          <cell r="I449" t="str">
            <v>VIETTEL</v>
          </cell>
        </row>
        <row r="450">
          <cell r="B450" t="str">
            <v>2ADI</v>
          </cell>
          <cell r="C450" t="str">
            <v>WM+ DBN Đồng Tâm, Tủa Chùa</v>
          </cell>
          <cell r="D450" t="str">
            <v>T. Điện Biên</v>
          </cell>
          <cell r="E450" t="str">
            <v>H. Tủa Chùa</v>
          </cell>
          <cell r="F450">
            <v>449</v>
          </cell>
          <cell r="H450" t="str">
            <v>WMP</v>
          </cell>
          <cell r="I450" t="str">
            <v>VIETTEL</v>
          </cell>
        </row>
        <row r="451">
          <cell r="B451" t="str">
            <v>6724</v>
          </cell>
          <cell r="C451" t="str">
            <v>WM+ DBN Tân Thủy, Tuần Giáo</v>
          </cell>
          <cell r="D451" t="str">
            <v>T. Điện Biên</v>
          </cell>
          <cell r="E451" t="str">
            <v>H. Tuần Giáo</v>
          </cell>
          <cell r="F451">
            <v>450</v>
          </cell>
          <cell r="H451" t="str">
            <v>WMP</v>
          </cell>
          <cell r="I451" t="str">
            <v>VIETTEL</v>
          </cell>
        </row>
        <row r="452">
          <cell r="B452" t="str">
            <v>6397</v>
          </cell>
          <cell r="C452" t="str">
            <v>WM+ SLA Tông Lạnh, Thuận Châu</v>
          </cell>
          <cell r="D452" t="str">
            <v>T. Điện Biên</v>
          </cell>
          <cell r="E452" t="str">
            <v>H. Tuần Giáo</v>
          </cell>
          <cell r="F452">
            <v>451</v>
          </cell>
          <cell r="H452" t="str">
            <v>WMP</v>
          </cell>
          <cell r="I452" t="str">
            <v>VIETTEL</v>
          </cell>
        </row>
        <row r="453">
          <cell r="B453" t="str">
            <v>2BXT</v>
          </cell>
          <cell r="C453" t="str">
            <v>WM+ SLA Bản Kiến Xương, Bình Thuận</v>
          </cell>
          <cell r="D453" t="str">
            <v>T. Điện Biên</v>
          </cell>
          <cell r="E453" t="str">
            <v>H. Thuận Châu</v>
          </cell>
          <cell r="F453">
            <v>452</v>
          </cell>
          <cell r="H453" t="str">
            <v>WMP</v>
          </cell>
          <cell r="I453" t="str">
            <v>VIETTEL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B94ED-89B8-4F44-8310-EAF3667FC808}">
  <dimension ref="A1:AB132"/>
  <sheetViews>
    <sheetView tabSelected="1" topLeftCell="F1" zoomScale="96" zoomScaleNormal="96" workbookViewId="0">
      <pane ySplit="1" topLeftCell="A2" activePane="bottomLeft" state="frozen"/>
      <selection activeCell="J16" sqref="J16"/>
      <selection pane="bottomLeft" activeCell="I2" sqref="I2:J2"/>
    </sheetView>
  </sheetViews>
  <sheetFormatPr defaultRowHeight="14.5" x14ac:dyDescent="0.35"/>
  <cols>
    <col min="1" max="1" width="8.7265625" style="5"/>
    <col min="2" max="2" width="10.54296875" style="5" customWidth="1"/>
    <col min="3" max="3" width="19.1796875" style="5" customWidth="1"/>
    <col min="4" max="4" width="17.6328125" style="5" customWidth="1"/>
    <col min="5" max="5" width="10" style="5" customWidth="1"/>
    <col min="6" max="6" width="26.1796875" style="5" customWidth="1"/>
    <col min="7" max="7" width="8.54296875" style="5" customWidth="1"/>
    <col min="8" max="8" width="18.54296875" style="5" customWidth="1"/>
    <col min="9" max="9" width="10" style="5" customWidth="1"/>
    <col min="10" max="10" width="8.90625" style="5" customWidth="1"/>
    <col min="11" max="11" width="13.81640625" style="5" customWidth="1"/>
    <col min="12" max="12" width="15.81640625" style="5" customWidth="1"/>
    <col min="13" max="13" width="8.7265625" style="5"/>
    <col min="14" max="14" width="10.36328125" style="5" customWidth="1"/>
    <col min="15" max="15" width="8.1796875" style="5" customWidth="1"/>
    <col min="16" max="17" width="8.7265625" style="5"/>
    <col min="18" max="18" width="10" style="5" customWidth="1"/>
    <col min="19" max="19" width="10.90625" style="5" customWidth="1"/>
    <col min="20" max="20" width="11" style="5" bestFit="1" customWidth="1"/>
    <col min="21" max="21" width="10" style="5" customWidth="1"/>
    <col min="22" max="22" width="9.08984375" style="5" customWidth="1"/>
    <col min="23" max="24" width="8.7265625" style="5"/>
    <col min="25" max="25" width="11.08984375" style="5" customWidth="1"/>
    <col min="26" max="26" width="15.90625" style="5" customWidth="1"/>
    <col min="27" max="27" width="12.453125" style="5" customWidth="1"/>
    <col min="28" max="16384" width="8.7265625" style="10"/>
  </cols>
  <sheetData>
    <row r="1" spans="1:28" s="4" customFormat="1" ht="3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3" t="s">
        <v>25</v>
      </c>
      <c r="AA1" s="3" t="s">
        <v>26</v>
      </c>
      <c r="AB1" s="3" t="s">
        <v>27</v>
      </c>
    </row>
    <row r="2" spans="1:28" x14ac:dyDescent="0.35">
      <c r="A2" s="5">
        <f ca="1">IF(B2="","",COUNTA($B$2:B2))</f>
        <v>1</v>
      </c>
      <c r="B2" s="6">
        <f t="shared" ref="B2:B46" ca="1" si="0">TODAY()+1</f>
        <v>46193</v>
      </c>
      <c r="C2" s="5" t="s">
        <v>32</v>
      </c>
      <c r="D2" s="5" t="s">
        <v>33</v>
      </c>
      <c r="E2" s="5" t="s">
        <v>34</v>
      </c>
      <c r="F2" s="5" t="s">
        <v>35</v>
      </c>
      <c r="G2" s="5">
        <v>264</v>
      </c>
      <c r="H2" s="7" t="str">
        <f>IF(COUNTIF($M$2:M2,M2)=1,
SUMIFS($G:$G,$M:$M,M2),
"")</f>
        <v/>
      </c>
      <c r="I2" s="7">
        <f>IF(E2&lt;&gt;E1,SUMIF(E:E,E2,X:X)," ")</f>
        <v>306.28442424242417</v>
      </c>
      <c r="J2" s="8">
        <f>IF(E2&lt;&gt;E1,SUMIF(E:E,E2,Y:Y)," ")</f>
        <v>1.413086256988026</v>
      </c>
      <c r="K2" s="5" t="s">
        <v>36</v>
      </c>
      <c r="L2" s="5" t="s">
        <v>37</v>
      </c>
      <c r="O2" s="9" t="str">
        <f>IF(Q2="","",COUNTIFS($M:$M,M2,$W:$W,"1"))</f>
        <v/>
      </c>
      <c r="P2" s="9" t="s">
        <v>28</v>
      </c>
      <c r="R2" s="5" t="s">
        <v>30</v>
      </c>
      <c r="S2" s="5">
        <v>235</v>
      </c>
      <c r="T2" s="9" t="str">
        <f t="shared" ref="T2:T46" si="1">IF(OR(Q2="", M2="", N2=""), "", "LOT SAU KHOẢNG " &amp; TEXT(IF(Q2=5, N2+TIME(2,0,0), IF(OR(Q2=7, Q2=8), N2+TIME(2,48,0), IF(Q2=10, N2+TIME(3,48,0), N2))), "hh:mm"))</f>
        <v/>
      </c>
      <c r="V2" s="5" t="str">
        <f>VLOOKUP(E2,'[1]CH DCPT CẤP HÀNG'!$B:$I,8,0)</f>
        <v>GHN</v>
      </c>
      <c r="W2" s="9">
        <f>IF(COUNTIFS($M$2:$M2,M2,$E$2:$E2,E2)=1,1,0)</f>
        <v>0</v>
      </c>
      <c r="X2" s="9">
        <v>138.27533333333329</v>
      </c>
      <c r="Y2" s="9">
        <v>0.66533594440614485</v>
      </c>
      <c r="Z2" s="9" t="e">
        <f>IF(COUNTIF(K$2:K2,K2)=1,SUMIF(K:K,K2,H:H)/SUMIF(K:K,K2,W:W),"")</f>
        <v>#DIV/0!</v>
      </c>
      <c r="AA2" s="9" t="str">
        <f>IF(COUNTIF($M$2:M2,M2)=1, SUMIF(M:M,M2,X:X), "")</f>
        <v/>
      </c>
      <c r="AB2" s="9" t="str">
        <f>IF(COUNTIF($M$2:M2,M2)=1, SUMIF(M:M,M2,Y:Y), "")</f>
        <v/>
      </c>
    </row>
    <row r="3" spans="1:28" x14ac:dyDescent="0.35">
      <c r="A3" s="5">
        <f ca="1">IF(B3="","",COUNTA($B$2:B3))</f>
        <v>2</v>
      </c>
      <c r="B3" s="6">
        <f t="shared" ca="1" si="0"/>
        <v>46193</v>
      </c>
      <c r="C3" s="5" t="s">
        <v>38</v>
      </c>
      <c r="D3" s="5" t="s">
        <v>39</v>
      </c>
      <c r="E3" s="5" t="s">
        <v>34</v>
      </c>
      <c r="F3" s="5" t="s">
        <v>35</v>
      </c>
      <c r="G3" s="5">
        <v>368</v>
      </c>
      <c r="H3" s="7" t="str">
        <f>IF(COUNTIF($M$2:M3,M3)=1,
SUMIFS($G:$G,$M:$M,M3),
"")</f>
        <v/>
      </c>
      <c r="I3" s="7" t="str">
        <f>IF(E3&lt;&gt;E2,SUMIF(E:E,E3,X:X)," ")</f>
        <v xml:space="preserve"> </v>
      </c>
      <c r="J3" s="8" t="str">
        <f>IF(E3&lt;&gt;E2,SUMIF(E:E,E3,Y:Y)," ")</f>
        <v xml:space="preserve"> </v>
      </c>
      <c r="K3" s="5" t="s">
        <v>36</v>
      </c>
      <c r="L3" s="5" t="s">
        <v>37</v>
      </c>
      <c r="O3" s="9" t="str">
        <f>IF(Q3="","",COUNTIFS($M:$M,M3,$W:$W,"1"))</f>
        <v/>
      </c>
      <c r="P3" s="9" t="s">
        <v>28</v>
      </c>
      <c r="R3" s="5" t="s">
        <v>30</v>
      </c>
      <c r="S3" s="5">
        <v>235</v>
      </c>
      <c r="T3" s="9" t="str">
        <f t="shared" si="1"/>
        <v/>
      </c>
      <c r="V3" s="5" t="str">
        <f>VLOOKUP(E3,'[1]CH DCPT CẤP HÀNG'!$B:$I,8,0)</f>
        <v>GHN</v>
      </c>
      <c r="W3" s="9">
        <f>IF(COUNTIFS($M$2:$M3,M3,$E$2:$E3,E3)=1,1,0)</f>
        <v>0</v>
      </c>
      <c r="X3" s="9">
        <v>168.0090909090909</v>
      </c>
      <c r="Y3" s="9">
        <v>0.74775031258188118</v>
      </c>
      <c r="Z3" s="9" t="str">
        <f>IF(COUNTIF(K$2:K3,K3)=1,SUMIF(K:K,K3,H:H)/SUMIF(K:K,K3,W:W),"")</f>
        <v/>
      </c>
      <c r="AA3" s="9" t="str">
        <f>IF(COUNTIF($M$2:M3,M3)=1, SUMIF(M:M,M3,X:X), "")</f>
        <v/>
      </c>
      <c r="AB3" s="9" t="str">
        <f>IF(COUNTIF($M$2:M3,M3)=1, SUMIF(M:M,M3,Y:Y), "")</f>
        <v/>
      </c>
    </row>
    <row r="4" spans="1:28" x14ac:dyDescent="0.35">
      <c r="A4" s="5">
        <f ca="1">IF(B4="","",COUNTA($B$2:B4))</f>
        <v>3</v>
      </c>
      <c r="B4" s="6">
        <f t="shared" ca="1" si="0"/>
        <v>46193</v>
      </c>
      <c r="C4" s="5" t="s">
        <v>40</v>
      </c>
      <c r="D4" s="5" t="s">
        <v>41</v>
      </c>
      <c r="E4" s="5" t="s">
        <v>42</v>
      </c>
      <c r="F4" s="5" t="s">
        <v>43</v>
      </c>
      <c r="G4" s="5">
        <v>212</v>
      </c>
      <c r="H4" s="7" t="str">
        <f>IF(COUNTIF($M$2:M4,M4)=1,
SUMIFS($G:$G,$M:$M,M4),
"")</f>
        <v/>
      </c>
      <c r="I4" s="7">
        <f>IF(E4&lt;&gt;E3,SUMIF(E:E,E4,X:X)," ")</f>
        <v>307.1419274322169</v>
      </c>
      <c r="J4" s="8">
        <f>IF(E4&lt;&gt;E3,SUMIF(E:E,E4,Y:Y)," ")</f>
        <v>1.6514044070722163</v>
      </c>
      <c r="K4" s="5" t="s">
        <v>36</v>
      </c>
      <c r="L4" s="5" t="s">
        <v>37</v>
      </c>
      <c r="O4" s="9" t="str">
        <f>IF(Q4="","",COUNTIFS($M:$M,M4,$W:$W,"1"))</f>
        <v/>
      </c>
      <c r="P4" s="9" t="s">
        <v>28</v>
      </c>
      <c r="R4" s="5" t="s">
        <v>30</v>
      </c>
      <c r="S4" s="5">
        <v>236</v>
      </c>
      <c r="T4" s="9" t="str">
        <f t="shared" si="1"/>
        <v/>
      </c>
      <c r="V4" s="5" t="str">
        <f>VLOOKUP(E4,'[1]CH DCPT CẤP HÀNG'!$B:$I,8,0)</f>
        <v>GHN</v>
      </c>
      <c r="W4" s="9">
        <f>IF(COUNTIFS($M$2:$M4,M4,$E$2:$E4,E4)=1,1,0)</f>
        <v>0</v>
      </c>
      <c r="X4" s="9">
        <v>136.52374561403508</v>
      </c>
      <c r="Y4" s="9">
        <v>0.61850976652383849</v>
      </c>
      <c r="Z4" s="9" t="str">
        <f>IF(COUNTIF(K$2:K4,K4)=1,SUMIF(K:K,K4,H:H)/SUMIF(K:K,K4,W:W),"")</f>
        <v/>
      </c>
      <c r="AA4" s="9" t="str">
        <f>IF(COUNTIF($M$2:M4,M4)=1, SUMIF(M:M,M4,X:X), "")</f>
        <v/>
      </c>
      <c r="AB4" s="9" t="str">
        <f>IF(COUNTIF($M$2:M4,M4)=1, SUMIF(M:M,M4,Y:Y), "")</f>
        <v/>
      </c>
    </row>
    <row r="5" spans="1:28" x14ac:dyDescent="0.35">
      <c r="A5" s="5">
        <f ca="1">IF(B5="","",COUNTA($B$2:B5))</f>
        <v>4</v>
      </c>
      <c r="B5" s="6">
        <f t="shared" ca="1" si="0"/>
        <v>46193</v>
      </c>
      <c r="C5" s="5" t="s">
        <v>44</v>
      </c>
      <c r="D5" s="5" t="s">
        <v>45</v>
      </c>
      <c r="E5" s="5" t="s">
        <v>42</v>
      </c>
      <c r="F5" s="5" t="s">
        <v>43</v>
      </c>
      <c r="G5" s="5">
        <v>662</v>
      </c>
      <c r="H5" s="7" t="str">
        <f>IF(COUNTIF($M$2:M5,M5)=1,
SUMIFS($G:$G,$M:$M,M5),
"")</f>
        <v/>
      </c>
      <c r="I5" s="7" t="str">
        <f>IF(E5&lt;&gt;E4,SUMIF(E:E,E5,X:X)," ")</f>
        <v xml:space="preserve"> </v>
      </c>
      <c r="J5" s="8" t="str">
        <f>IF(E5&lt;&gt;E4,SUMIF(E:E,E5,Y:Y)," ")</f>
        <v xml:space="preserve"> </v>
      </c>
      <c r="K5" s="5" t="s">
        <v>36</v>
      </c>
      <c r="L5" s="5" t="s">
        <v>37</v>
      </c>
      <c r="O5" s="9" t="str">
        <f>IF(Q5="","",COUNTIFS($M:$M,M5,$W:$W,"1"))</f>
        <v/>
      </c>
      <c r="P5" s="9" t="s">
        <v>28</v>
      </c>
      <c r="R5" s="5" t="s">
        <v>30</v>
      </c>
      <c r="S5" s="5">
        <v>236</v>
      </c>
      <c r="T5" s="9" t="str">
        <f t="shared" si="1"/>
        <v/>
      </c>
      <c r="V5" s="5" t="str">
        <f>VLOOKUP(E5,'[1]CH DCPT CẤP HÀNG'!$B:$I,8,0)</f>
        <v>GHN</v>
      </c>
      <c r="W5" s="9">
        <f>IF(COUNTIFS($M$2:$M5,M5,$E$2:$E5,E5)=1,1,0)</f>
        <v>0</v>
      </c>
      <c r="X5" s="9">
        <v>170.6181818181818</v>
      </c>
      <c r="Y5" s="9">
        <v>1.0328946405483777</v>
      </c>
      <c r="Z5" s="9" t="str">
        <f>IF(COUNTIF(K$2:K5,K5)=1,SUMIF(K:K,K5,H:H)/SUMIF(K:K,K5,W:W),"")</f>
        <v/>
      </c>
      <c r="AA5" s="9" t="str">
        <f>IF(COUNTIF($M$2:M5,M5)=1, SUMIF(M:M,M5,X:X), "")</f>
        <v/>
      </c>
      <c r="AB5" s="9" t="str">
        <f>IF(COUNTIF($M$2:M5,M5)=1, SUMIF(M:M,M5,Y:Y), "")</f>
        <v/>
      </c>
    </row>
    <row r="6" spans="1:28" x14ac:dyDescent="0.35">
      <c r="A6" s="5">
        <f ca="1">IF(B6="","",COUNTA($B$2:B6))</f>
        <v>5</v>
      </c>
      <c r="B6" s="6">
        <f t="shared" ca="1" si="0"/>
        <v>46193</v>
      </c>
      <c r="C6" s="5" t="s">
        <v>46</v>
      </c>
      <c r="D6" s="5" t="s">
        <v>47</v>
      </c>
      <c r="E6" s="5" t="s">
        <v>48</v>
      </c>
      <c r="F6" s="5" t="s">
        <v>49</v>
      </c>
      <c r="G6" s="5">
        <v>204</v>
      </c>
      <c r="H6" s="7" t="str">
        <f>IF(COUNTIF($M$2:M6,M6)=1,
SUMIFS($G:$G,$M:$M,M6),
"")</f>
        <v/>
      </c>
      <c r="I6" s="7">
        <f>IF(E6&lt;&gt;E5,SUMIF(E:E,E6,X:X)," ")</f>
        <v>376.2232081339713</v>
      </c>
      <c r="J6" s="8">
        <f>IF(E6&lt;&gt;E5,SUMIF(E:E,E6,Y:Y)," ")</f>
        <v>1.6123665959280151</v>
      </c>
      <c r="K6" s="5" t="s">
        <v>36</v>
      </c>
      <c r="L6" s="5" t="s">
        <v>37</v>
      </c>
      <c r="O6" s="9" t="str">
        <f>IF(Q6="","",COUNTIFS($M:$M,M6,$W:$W,"1"))</f>
        <v/>
      </c>
      <c r="P6" s="9" t="s">
        <v>28</v>
      </c>
      <c r="R6" s="5" t="s">
        <v>30</v>
      </c>
      <c r="S6" s="5">
        <v>237</v>
      </c>
      <c r="T6" s="9" t="str">
        <f t="shared" si="1"/>
        <v/>
      </c>
      <c r="V6" s="5" t="str">
        <f>VLOOKUP(E6,'[1]CH DCPT CẤP HÀNG'!$B:$I,8,0)</f>
        <v>GHN</v>
      </c>
      <c r="W6" s="9">
        <f>IF(COUNTIFS($M$2:$M6,M6,$E$2:$E6,E6)=1,1,0)</f>
        <v>0</v>
      </c>
      <c r="X6" s="9">
        <v>192.74402631578945</v>
      </c>
      <c r="Y6" s="9">
        <v>0.72488377565382645</v>
      </c>
      <c r="Z6" s="9" t="str">
        <f>IF(COUNTIF(K$2:K6,K6)=1,SUMIF(K:K,K6,H:H)/SUMIF(K:K,K6,W:W),"")</f>
        <v/>
      </c>
      <c r="AA6" s="9" t="str">
        <f>IF(COUNTIF($M$2:M6,M6)=1, SUMIF(M:M,M6,X:X), "")</f>
        <v/>
      </c>
      <c r="AB6" s="9" t="str">
        <f>IF(COUNTIF($M$2:M6,M6)=1, SUMIF(M:M,M6,Y:Y), "")</f>
        <v/>
      </c>
    </row>
    <row r="7" spans="1:28" x14ac:dyDescent="0.35">
      <c r="A7" s="5">
        <f ca="1">IF(B7="","",COUNTA($B$2:B7))</f>
        <v>6</v>
      </c>
      <c r="B7" s="6">
        <f t="shared" ca="1" si="0"/>
        <v>46193</v>
      </c>
      <c r="C7" s="5" t="s">
        <v>50</v>
      </c>
      <c r="D7" s="5" t="s">
        <v>51</v>
      </c>
      <c r="E7" s="5" t="s">
        <v>48</v>
      </c>
      <c r="F7" s="5" t="s">
        <v>49</v>
      </c>
      <c r="G7" s="5">
        <v>348</v>
      </c>
      <c r="H7" s="7" t="str">
        <f>IF(COUNTIF($M$2:M7,M7)=1,
SUMIFS($G:$G,$M:$M,M7),
"")</f>
        <v/>
      </c>
      <c r="I7" s="7" t="str">
        <f>IF(E7&lt;&gt;E6,SUMIF(E:E,E7,X:X)," ")</f>
        <v xml:space="preserve"> </v>
      </c>
      <c r="J7" s="8" t="str">
        <f>IF(E7&lt;&gt;E6,SUMIF(E:E,E7,Y:Y)," ")</f>
        <v xml:space="preserve"> </v>
      </c>
      <c r="K7" s="5" t="s">
        <v>36</v>
      </c>
      <c r="L7" s="5" t="s">
        <v>37</v>
      </c>
      <c r="O7" s="9" t="str">
        <f>IF(Q7="","",COUNTIFS($M:$M,M7,$W:$W,"1"))</f>
        <v/>
      </c>
      <c r="P7" s="9" t="s">
        <v>28</v>
      </c>
      <c r="R7" s="5" t="s">
        <v>30</v>
      </c>
      <c r="S7" s="5">
        <v>237</v>
      </c>
      <c r="T7" s="9" t="str">
        <f t="shared" si="1"/>
        <v/>
      </c>
      <c r="V7" s="5" t="str">
        <f>VLOOKUP(E7,'[1]CH DCPT CẤP HÀNG'!$B:$I,8,0)</f>
        <v>GHN</v>
      </c>
      <c r="W7" s="9">
        <f>IF(COUNTIFS($M$2:$M7,M7,$E$2:$E7,E7)=1,1,0)</f>
        <v>0</v>
      </c>
      <c r="X7" s="9">
        <v>183.47918181818181</v>
      </c>
      <c r="Y7" s="9">
        <v>0.88748282027418879</v>
      </c>
      <c r="Z7" s="9" t="str">
        <f>IF(COUNTIF(K$2:K7,K7)=1,SUMIF(K:K,K7,H:H)/SUMIF(K:K,K7,W:W),"")</f>
        <v/>
      </c>
      <c r="AA7" s="9" t="str">
        <f>IF(COUNTIF($M$2:M7,M7)=1, SUMIF(M:M,M7,X:X), "")</f>
        <v/>
      </c>
      <c r="AB7" s="9" t="str">
        <f>IF(COUNTIF($M$2:M7,M7)=1, SUMIF(M:M,M7,Y:Y), "")</f>
        <v/>
      </c>
    </row>
    <row r="8" spans="1:28" x14ac:dyDescent="0.35">
      <c r="A8" s="5">
        <f ca="1">IF(B8="","",COUNTA($B$2:B8))</f>
        <v>7</v>
      </c>
      <c r="B8" s="6">
        <f t="shared" ca="1" si="0"/>
        <v>46193</v>
      </c>
      <c r="C8" s="5" t="s">
        <v>52</v>
      </c>
      <c r="D8" s="5" t="s">
        <v>53</v>
      </c>
      <c r="E8" s="5" t="s">
        <v>54</v>
      </c>
      <c r="F8" s="5" t="s">
        <v>55</v>
      </c>
      <c r="G8" s="5">
        <v>130</v>
      </c>
      <c r="H8" s="7" t="str">
        <f>IF(COUNTIF($M$2:M8,M8)=1,
SUMIFS($G:$G,$M:$M,M8),
"")</f>
        <v/>
      </c>
      <c r="I8" s="7">
        <f>IF(E8&lt;&gt;E7,SUMIF(E:E,E8,X:X)," ")</f>
        <v>167.72206060606061</v>
      </c>
      <c r="J8" s="8">
        <f>IF(E8&lt;&gt;E7,SUMIF(E:E,E8,Y:Y)," ")</f>
        <v>1.0303690556588041</v>
      </c>
      <c r="K8" s="5" t="s">
        <v>36</v>
      </c>
      <c r="L8" s="5" t="s">
        <v>56</v>
      </c>
      <c r="O8" s="9" t="str">
        <f>IF(Q8="","",COUNTIFS($M:$M,M8,$W:$W,"1"))</f>
        <v/>
      </c>
      <c r="P8" s="9" t="s">
        <v>28</v>
      </c>
      <c r="R8" s="5" t="s">
        <v>30</v>
      </c>
      <c r="S8" s="5">
        <v>239</v>
      </c>
      <c r="T8" s="9" t="str">
        <f t="shared" si="1"/>
        <v/>
      </c>
      <c r="V8" s="5" t="str">
        <f>VLOOKUP(E8,'[1]CH DCPT CẤP HÀNG'!$B:$I,8,0)</f>
        <v>GHN</v>
      </c>
      <c r="W8" s="9">
        <f>IF(COUNTIFS($M$2:$M8,M8,$E$2:$E8,E8)=1,1,0)</f>
        <v>0</v>
      </c>
      <c r="X8" s="9">
        <v>60.249333333333333</v>
      </c>
      <c r="Y8" s="9">
        <v>0.42560393538461533</v>
      </c>
      <c r="Z8" s="9" t="str">
        <f>IF(COUNTIF(K$2:K8,K8)=1,SUMIF(K:K,K8,H:H)/SUMIF(K:K,K8,W:W),"")</f>
        <v/>
      </c>
      <c r="AA8" s="9" t="str">
        <f>IF(COUNTIF($M$2:M8,M8)=1, SUMIF(M:M,M8,X:X), "")</f>
        <v/>
      </c>
      <c r="AB8" s="9" t="str">
        <f>IF(COUNTIF($M$2:M8,M8)=1, SUMIF(M:M,M8,Y:Y), "")</f>
        <v/>
      </c>
    </row>
    <row r="9" spans="1:28" x14ac:dyDescent="0.35">
      <c r="A9" s="5">
        <f ca="1">IF(B9="","",COUNTA($B$2:B9))</f>
        <v>8</v>
      </c>
      <c r="B9" s="6">
        <f t="shared" ca="1" si="0"/>
        <v>46193</v>
      </c>
      <c r="C9" s="5" t="s">
        <v>57</v>
      </c>
      <c r="D9" s="5" t="s">
        <v>58</v>
      </c>
      <c r="E9" s="5" t="s">
        <v>54</v>
      </c>
      <c r="F9" s="5" t="s">
        <v>55</v>
      </c>
      <c r="G9" s="5">
        <v>256</v>
      </c>
      <c r="H9" s="7" t="str">
        <f>IF(COUNTIF($M$2:M9,M9)=1,
SUMIFS($G:$G,$M:$M,M9),
"")</f>
        <v/>
      </c>
      <c r="I9" s="7" t="str">
        <f>IF(E9&lt;&gt;E8,SUMIF(E:E,E9,X:X)," ")</f>
        <v xml:space="preserve"> </v>
      </c>
      <c r="J9" s="8" t="str">
        <f>IF(E9&lt;&gt;E8,SUMIF(E:E,E9,Y:Y)," ")</f>
        <v xml:space="preserve"> </v>
      </c>
      <c r="K9" s="5" t="s">
        <v>36</v>
      </c>
      <c r="L9" s="5" t="s">
        <v>56</v>
      </c>
      <c r="O9" s="9" t="str">
        <f>IF(Q9="","",COUNTIFS($M:$M,M9,$W:$W,"1"))</f>
        <v/>
      </c>
      <c r="P9" s="9" t="s">
        <v>28</v>
      </c>
      <c r="R9" s="5" t="s">
        <v>30</v>
      </c>
      <c r="S9" s="5">
        <v>239</v>
      </c>
      <c r="T9" s="9" t="str">
        <f t="shared" si="1"/>
        <v/>
      </c>
      <c r="V9" s="5" t="str">
        <f>VLOOKUP(E9,'[1]CH DCPT CẤP HÀNG'!$B:$I,8,0)</f>
        <v>GHN</v>
      </c>
      <c r="W9" s="9">
        <f>IF(COUNTIFS($M$2:$M9,M9,$E$2:$E9,E9)=1,1,0)</f>
        <v>0</v>
      </c>
      <c r="X9" s="9">
        <v>107.47272727272727</v>
      </c>
      <c r="Y9" s="9">
        <v>0.60476512027418883</v>
      </c>
      <c r="Z9" s="9" t="str">
        <f>IF(COUNTIF(K$2:K9,K9)=1,SUMIF(K:K,K9,H:H)/SUMIF(K:K,K9,W:W),"")</f>
        <v/>
      </c>
      <c r="AA9" s="9" t="str">
        <f>IF(COUNTIF($M$2:M9,M9)=1, SUMIF(M:M,M9,X:X), "")</f>
        <v/>
      </c>
      <c r="AB9" s="9" t="str">
        <f>IF(COUNTIF($M$2:M9,M9)=1, SUMIF(M:M,M9,Y:Y), "")</f>
        <v/>
      </c>
    </row>
    <row r="10" spans="1:28" x14ac:dyDescent="0.35">
      <c r="A10" s="5">
        <f ca="1">IF(B10="","",COUNTA($B$2:B10))</f>
        <v>9</v>
      </c>
      <c r="B10" s="6">
        <f t="shared" ca="1" si="0"/>
        <v>46193</v>
      </c>
      <c r="C10" s="5" t="s">
        <v>59</v>
      </c>
      <c r="D10" s="5" t="s">
        <v>60</v>
      </c>
      <c r="E10" s="5" t="s">
        <v>61</v>
      </c>
      <c r="F10" s="5" t="s">
        <v>62</v>
      </c>
      <c r="G10" s="5">
        <v>164</v>
      </c>
      <c r="H10" s="7" t="str">
        <f>IF(COUNTIF($M$2:M10,M10)=1,
SUMIFS($G:$G,$M:$M,M10),
"")</f>
        <v/>
      </c>
      <c r="I10" s="7">
        <f>IF(E10&lt;&gt;E9,SUMIF(E:E,E10,X:X)," ")</f>
        <v>336.50505007974482</v>
      </c>
      <c r="J10" s="8">
        <f>IF(E10&lt;&gt;E9,SUMIF(E:E,E10,Y:Y)," ")</f>
        <v>1.5941283796815306</v>
      </c>
      <c r="K10" s="5" t="s">
        <v>36</v>
      </c>
      <c r="L10" s="5" t="s">
        <v>56</v>
      </c>
      <c r="O10" s="9" t="str">
        <f>IF(Q10="","",COUNTIFS($M:$M,M10,$W:$W,"1"))</f>
        <v/>
      </c>
      <c r="P10" s="9" t="s">
        <v>28</v>
      </c>
      <c r="R10" s="5" t="s">
        <v>30</v>
      </c>
      <c r="S10" s="5">
        <v>240</v>
      </c>
      <c r="T10" s="9" t="str">
        <f t="shared" si="1"/>
        <v/>
      </c>
      <c r="V10" s="5" t="str">
        <f>VLOOKUP(E10,'[1]CH DCPT CẤP HÀNG'!$B:$I,8,0)</f>
        <v>GHN</v>
      </c>
      <c r="W10" s="9">
        <f>IF(COUNTIFS($M$2:$M10,M10,$E$2:$E10,E10)=1,1,0)</f>
        <v>0</v>
      </c>
      <c r="X10" s="9">
        <v>151.05312280701753</v>
      </c>
      <c r="Y10" s="9">
        <v>0.62716222910249819</v>
      </c>
      <c r="Z10" s="9" t="str">
        <f>IF(COUNTIF(K$2:K10,K10)=1,SUMIF(K:K,K10,H:H)/SUMIF(K:K,K10,W:W),"")</f>
        <v/>
      </c>
      <c r="AA10" s="9" t="str">
        <f>IF(COUNTIF($M$2:M10,M10)=1, SUMIF(M:M,M10,X:X), "")</f>
        <v/>
      </c>
      <c r="AB10" s="9" t="str">
        <f>IF(COUNTIF($M$2:M10,M10)=1, SUMIF(M:M,M10,Y:Y), "")</f>
        <v/>
      </c>
    </row>
    <row r="11" spans="1:28" x14ac:dyDescent="0.35">
      <c r="A11" s="5">
        <f ca="1">IF(B11="","",COUNTA($B$2:B11))</f>
        <v>10</v>
      </c>
      <c r="B11" s="6">
        <f t="shared" ca="1" si="0"/>
        <v>46193</v>
      </c>
      <c r="C11" s="5" t="s">
        <v>63</v>
      </c>
      <c r="D11" s="5" t="s">
        <v>64</v>
      </c>
      <c r="E11" s="5" t="s">
        <v>61</v>
      </c>
      <c r="F11" s="5" t="s">
        <v>62</v>
      </c>
      <c r="G11" s="5">
        <v>536</v>
      </c>
      <c r="H11" s="7" t="str">
        <f>IF(COUNTIF($M$2:M11,M11)=1,
SUMIFS($G:$G,$M:$M,M11),
"")</f>
        <v/>
      </c>
      <c r="I11" s="7" t="str">
        <f>IF(E11&lt;&gt;E10,SUMIF(E:E,E11,X:X)," ")</f>
        <v xml:space="preserve"> </v>
      </c>
      <c r="J11" s="8" t="str">
        <f>IF(E11&lt;&gt;E10,SUMIF(E:E,E11,Y:Y)," ")</f>
        <v xml:space="preserve"> </v>
      </c>
      <c r="K11" s="5" t="s">
        <v>36</v>
      </c>
      <c r="L11" s="5" t="s">
        <v>56</v>
      </c>
      <c r="O11" s="9" t="str">
        <f>IF(Q11="","",COUNTIFS($M:$M,M11,$W:$W,"1"))</f>
        <v/>
      </c>
      <c r="P11" s="9" t="s">
        <v>28</v>
      </c>
      <c r="R11" s="5" t="s">
        <v>30</v>
      </c>
      <c r="S11" s="5">
        <v>240</v>
      </c>
      <c r="T11" s="9" t="str">
        <f t="shared" si="1"/>
        <v/>
      </c>
      <c r="V11" s="5" t="str">
        <f>VLOOKUP(E11,'[1]CH DCPT CẤP HÀNG'!$B:$I,8,0)</f>
        <v>GHN</v>
      </c>
      <c r="W11" s="9">
        <f>IF(COUNTIFS($M$2:$M11,M11,$E$2:$E11,E11)=1,1,0)</f>
        <v>0</v>
      </c>
      <c r="X11" s="9">
        <v>185.45192727272726</v>
      </c>
      <c r="Y11" s="9">
        <v>0.96696615057903257</v>
      </c>
      <c r="Z11" s="9" t="str">
        <f>IF(COUNTIF(K$2:K11,K11)=1,SUMIF(K:K,K11,H:H)/SUMIF(K:K,K11,W:W),"")</f>
        <v/>
      </c>
      <c r="AA11" s="9" t="str">
        <f>IF(COUNTIF($M$2:M11,M11)=1, SUMIF(M:M,M11,X:X), "")</f>
        <v/>
      </c>
      <c r="AB11" s="9" t="str">
        <f>IF(COUNTIF($M$2:M11,M11)=1, SUMIF(M:M,M11,Y:Y), "")</f>
        <v/>
      </c>
    </row>
    <row r="12" spans="1:28" x14ac:dyDescent="0.35">
      <c r="A12" s="5">
        <f ca="1">IF(B12="","",COUNTA($B$2:B12))</f>
        <v>11</v>
      </c>
      <c r="B12" s="6">
        <f t="shared" ca="1" si="0"/>
        <v>46193</v>
      </c>
      <c r="C12" s="5" t="s">
        <v>65</v>
      </c>
      <c r="D12" s="5" t="s">
        <v>66</v>
      </c>
      <c r="E12" s="5" t="s">
        <v>67</v>
      </c>
      <c r="F12" s="5" t="s">
        <v>68</v>
      </c>
      <c r="G12" s="5">
        <v>167</v>
      </c>
      <c r="H12" s="7" t="str">
        <f>IF(COUNTIF($M$2:M12,M12)=1,
SUMIFS($G:$G,$M:$M,M12),
"")</f>
        <v/>
      </c>
      <c r="I12" s="7">
        <f>IF(E12&lt;&gt;E11,SUMIF(E:E,E12,X:X)," ")</f>
        <v>192.88939393939393</v>
      </c>
      <c r="J12" s="8">
        <f>IF(E12&lt;&gt;E11,SUMIF(E:E,E12,Y:Y)," ")</f>
        <v>1.1924681591098443</v>
      </c>
      <c r="K12" s="5" t="s">
        <v>36</v>
      </c>
      <c r="L12" s="5" t="s">
        <v>56</v>
      </c>
      <c r="O12" s="9" t="str">
        <f>IF(Q12="","",COUNTIFS($M:$M,M12,$W:$W,"1"))</f>
        <v/>
      </c>
      <c r="P12" s="9" t="s">
        <v>28</v>
      </c>
      <c r="R12" s="5" t="s">
        <v>30</v>
      </c>
      <c r="S12" s="5">
        <v>241</v>
      </c>
      <c r="T12" s="9" t="str">
        <f t="shared" si="1"/>
        <v/>
      </c>
      <c r="V12" s="5" t="str">
        <f>VLOOKUP(E12,'[1]CH DCPT CẤP HÀNG'!$B:$I,8,0)</f>
        <v>GHN</v>
      </c>
      <c r="W12" s="9">
        <f>IF(COUNTIFS($M$2:$M12,M12,$E$2:$E12,E12)=1,1,0)</f>
        <v>0</v>
      </c>
      <c r="X12" s="9">
        <v>75.416666666666657</v>
      </c>
      <c r="Y12" s="9">
        <v>0.50852876191257845</v>
      </c>
      <c r="Z12" s="9" t="str">
        <f>IF(COUNTIF(K$2:K12,K12)=1,SUMIF(K:K,K12,H:H)/SUMIF(K:K,K12,W:W),"")</f>
        <v/>
      </c>
      <c r="AA12" s="9" t="str">
        <f>IF(COUNTIF($M$2:M12,M12)=1, SUMIF(M:M,M12,X:X), "")</f>
        <v/>
      </c>
      <c r="AB12" s="9" t="str">
        <f>IF(COUNTIF($M$2:M12,M12)=1, SUMIF(M:M,M12,Y:Y), "")</f>
        <v/>
      </c>
    </row>
    <row r="13" spans="1:28" x14ac:dyDescent="0.35">
      <c r="A13" s="5">
        <f ca="1">IF(B13="","",COUNTA($B$2:B13))</f>
        <v>12</v>
      </c>
      <c r="B13" s="6">
        <f t="shared" ca="1" si="0"/>
        <v>46193</v>
      </c>
      <c r="C13" s="5" t="s">
        <v>69</v>
      </c>
      <c r="D13" s="5" t="s">
        <v>70</v>
      </c>
      <c r="E13" s="5" t="s">
        <v>67</v>
      </c>
      <c r="F13" s="5" t="s">
        <v>68</v>
      </c>
      <c r="G13" s="5">
        <v>336</v>
      </c>
      <c r="H13" s="7" t="str">
        <f>IF(COUNTIF($M$2:M13,M13)=1,
SUMIFS($G:$G,$M:$M,M13),
"")</f>
        <v/>
      </c>
      <c r="I13" s="7" t="str">
        <f>IF(E13&lt;&gt;E12,SUMIF(E:E,E13,X:X)," ")</f>
        <v xml:space="preserve"> </v>
      </c>
      <c r="J13" s="8" t="str">
        <f>IF(E13&lt;&gt;E12,SUMIF(E:E,E13,Y:Y)," ")</f>
        <v xml:space="preserve"> </v>
      </c>
      <c r="K13" s="5" t="s">
        <v>36</v>
      </c>
      <c r="L13" s="5" t="s">
        <v>56</v>
      </c>
      <c r="O13" s="9" t="str">
        <f>IF(Q13="","",COUNTIFS($M:$M,M13,$W:$W,"1"))</f>
        <v/>
      </c>
      <c r="P13" s="9" t="s">
        <v>28</v>
      </c>
      <c r="R13" s="5" t="s">
        <v>30</v>
      </c>
      <c r="S13" s="5">
        <v>241</v>
      </c>
      <c r="T13" s="9" t="str">
        <f t="shared" si="1"/>
        <v/>
      </c>
      <c r="V13" s="5" t="str">
        <f>VLOOKUP(E13,'[1]CH DCPT CẤP HÀNG'!$B:$I,8,0)</f>
        <v>GHN</v>
      </c>
      <c r="W13" s="9">
        <f>IF(COUNTIFS($M$2:$M13,M13,$E$2:$E13,E13)=1,1,0)</f>
        <v>0</v>
      </c>
      <c r="X13" s="9">
        <v>117.47272727272727</v>
      </c>
      <c r="Y13" s="9">
        <v>0.68393939719726582</v>
      </c>
      <c r="Z13" s="9" t="str">
        <f>IF(COUNTIF(K$2:K13,K13)=1,SUMIF(K:K,K13,H:H)/SUMIF(K:K,K13,W:W),"")</f>
        <v/>
      </c>
      <c r="AA13" s="9" t="str">
        <f>IF(COUNTIF($M$2:M13,M13)=1, SUMIF(M:M,M13,X:X), "")</f>
        <v/>
      </c>
      <c r="AB13" s="9" t="str">
        <f>IF(COUNTIF($M$2:M13,M13)=1, SUMIF(M:M,M13,Y:Y), "")</f>
        <v/>
      </c>
    </row>
    <row r="14" spans="1:28" x14ac:dyDescent="0.35">
      <c r="A14" s="5">
        <f ca="1">IF(B14="","",COUNTA($B$2:B14))</f>
        <v>13</v>
      </c>
      <c r="B14" s="6">
        <f t="shared" ca="1" si="0"/>
        <v>46193</v>
      </c>
      <c r="C14" s="5" t="s">
        <v>71</v>
      </c>
      <c r="D14" s="5" t="s">
        <v>72</v>
      </c>
      <c r="E14" s="5" t="s">
        <v>73</v>
      </c>
      <c r="F14" s="5" t="s">
        <v>74</v>
      </c>
      <c r="G14" s="5">
        <v>175</v>
      </c>
      <c r="H14" s="7" t="str">
        <f>IF(COUNTIF($M$2:M14,M14)=1,
SUMIFS($G:$G,$M:$M,M14),
"")</f>
        <v/>
      </c>
      <c r="I14" s="7">
        <f>IF(E14&lt;&gt;E13,SUMIF(E:E,E14,X:X)," ")</f>
        <v>208.32109090909086</v>
      </c>
      <c r="J14" s="8">
        <f>IF(E14&lt;&gt;E13,SUMIF(E:E,E14,Y:Y)," ")</f>
        <v>1.1047374688207996</v>
      </c>
      <c r="K14" s="5" t="s">
        <v>36</v>
      </c>
      <c r="L14" s="5" t="s">
        <v>56</v>
      </c>
      <c r="O14" s="9" t="str">
        <f>IF(Q14="","",COUNTIFS($M:$M,M14,$W:$W,"1"))</f>
        <v/>
      </c>
      <c r="P14" s="9" t="s">
        <v>28</v>
      </c>
      <c r="R14" s="5" t="s">
        <v>30</v>
      </c>
      <c r="S14" s="5">
        <v>242</v>
      </c>
      <c r="T14" s="9" t="str">
        <f t="shared" si="1"/>
        <v/>
      </c>
      <c r="V14" s="5" t="str">
        <f>VLOOKUP(E14,'[1]CH DCPT CẤP HÀNG'!$B:$I,8,0)</f>
        <v>GHN</v>
      </c>
      <c r="W14" s="9">
        <f>IF(COUNTIFS($M$2:$M14,M14,$E$2:$E14,E14)=1,1,0)</f>
        <v>0</v>
      </c>
      <c r="X14" s="9">
        <v>95.211999999999975</v>
      </c>
      <c r="Y14" s="9">
        <v>0.54239322879280283</v>
      </c>
      <c r="Z14" s="9" t="str">
        <f>IF(COUNTIF(K$2:K14,K14)=1,SUMIF(K:K,K14,H:H)/SUMIF(K:K,K14,W:W),"")</f>
        <v/>
      </c>
      <c r="AA14" s="9" t="str">
        <f>IF(COUNTIF($M$2:M14,M14)=1, SUMIF(M:M,M14,X:X), "")</f>
        <v/>
      </c>
      <c r="AB14" s="9" t="str">
        <f>IF(COUNTIF($M$2:M14,M14)=1, SUMIF(M:M,M14,Y:Y), "")</f>
        <v/>
      </c>
    </row>
    <row r="15" spans="1:28" x14ac:dyDescent="0.35">
      <c r="A15" s="5">
        <f ca="1">IF(B15="","",COUNTA($B$2:B15))</f>
        <v>14</v>
      </c>
      <c r="B15" s="6">
        <f t="shared" ca="1" si="0"/>
        <v>46193</v>
      </c>
      <c r="C15" s="5" t="s">
        <v>75</v>
      </c>
      <c r="D15" s="5" t="s">
        <v>76</v>
      </c>
      <c r="E15" s="5" t="s">
        <v>73</v>
      </c>
      <c r="F15" s="5" t="s">
        <v>74</v>
      </c>
      <c r="G15" s="5">
        <v>218</v>
      </c>
      <c r="H15" s="7" t="str">
        <f>IF(COUNTIF($M$2:M15,M15)=1,
SUMIFS($G:$G,$M:$M,M15),
"")</f>
        <v/>
      </c>
      <c r="I15" s="7" t="str">
        <f>IF(E15&lt;&gt;E14,SUMIF(E:E,E15,X:X)," ")</f>
        <v xml:space="preserve"> </v>
      </c>
      <c r="J15" s="8" t="str">
        <f>IF(E15&lt;&gt;E14,SUMIF(E:E,E15,Y:Y)," ")</f>
        <v xml:space="preserve"> </v>
      </c>
      <c r="K15" s="5" t="s">
        <v>36</v>
      </c>
      <c r="L15" s="5" t="s">
        <v>56</v>
      </c>
      <c r="O15" s="9" t="str">
        <f>IF(Q15="","",COUNTIFS($M:$M,M15,$W:$W,"1"))</f>
        <v/>
      </c>
      <c r="P15" s="9" t="s">
        <v>28</v>
      </c>
      <c r="R15" s="5" t="s">
        <v>30</v>
      </c>
      <c r="S15" s="5">
        <v>242</v>
      </c>
      <c r="T15" s="9" t="str">
        <f t="shared" si="1"/>
        <v/>
      </c>
      <c r="V15" s="5" t="str">
        <f>VLOOKUP(E15,'[1]CH DCPT CẤP HÀNG'!$B:$I,8,0)</f>
        <v>GHN</v>
      </c>
      <c r="W15" s="9">
        <f>IF(COUNTIFS($M$2:$M15,M15,$E$2:$E15,E15)=1,1,0)</f>
        <v>0</v>
      </c>
      <c r="X15" s="9">
        <v>113.1090909090909</v>
      </c>
      <c r="Y15" s="9">
        <v>0.56234424002799688</v>
      </c>
      <c r="Z15" s="9" t="str">
        <f>IF(COUNTIF(K$2:K15,K15)=1,SUMIF(K:K,K15,H:H)/SUMIF(K:K,K15,W:W),"")</f>
        <v/>
      </c>
      <c r="AA15" s="9" t="str">
        <f>IF(COUNTIF($M$2:M15,M15)=1, SUMIF(M:M,M15,X:X), "")</f>
        <v/>
      </c>
      <c r="AB15" s="9" t="str">
        <f>IF(COUNTIF($M$2:M15,M15)=1, SUMIF(M:M,M15,Y:Y), "")</f>
        <v/>
      </c>
    </row>
    <row r="16" spans="1:28" x14ac:dyDescent="0.35">
      <c r="A16" s="5">
        <f ca="1">IF(B16="","",COUNTA($B$2:B16))</f>
        <v>15</v>
      </c>
      <c r="B16" s="6">
        <f t="shared" ca="1" si="0"/>
        <v>46193</v>
      </c>
      <c r="C16" s="5" t="s">
        <v>77</v>
      </c>
      <c r="D16" s="5" t="s">
        <v>78</v>
      </c>
      <c r="E16" s="5" t="s">
        <v>79</v>
      </c>
      <c r="F16" s="5" t="s">
        <v>80</v>
      </c>
      <c r="G16" s="5">
        <v>110</v>
      </c>
      <c r="H16" s="7" t="str">
        <f>IF(COUNTIF($M$2:M16,M16)=1,
SUMIFS($G:$G,$M:$M,M16),
"")</f>
        <v/>
      </c>
      <c r="I16" s="7">
        <f>IF(E16&lt;&gt;E15,SUMIF(E:E,E16,X:X)," ")</f>
        <v>181.55935757575756</v>
      </c>
      <c r="J16" s="8">
        <f>IF(E16&lt;&gt;E15,SUMIF(E:E,E16,Y:Y)," ")</f>
        <v>0.9812427097538079</v>
      </c>
      <c r="K16" s="5" t="s">
        <v>36</v>
      </c>
      <c r="L16" s="5" t="s">
        <v>56</v>
      </c>
      <c r="O16" s="9" t="str">
        <f>IF(Q16="","",COUNTIFS($M:$M,M16,$W:$W,"1"))</f>
        <v/>
      </c>
      <c r="P16" s="9" t="s">
        <v>28</v>
      </c>
      <c r="R16" s="5" t="s">
        <v>30</v>
      </c>
      <c r="S16" s="5">
        <v>243</v>
      </c>
      <c r="T16" s="9" t="str">
        <f t="shared" si="1"/>
        <v/>
      </c>
      <c r="V16" s="5" t="str">
        <f>VLOOKUP(E16,'[1]CH DCPT CẤP HÀNG'!$B:$I,8,0)</f>
        <v>GHN</v>
      </c>
      <c r="W16" s="9">
        <f>IF(COUNTIFS($M$2:$M16,M16,$E$2:$E16,E16)=1,1,0)</f>
        <v>0</v>
      </c>
      <c r="X16" s="9">
        <v>72.950266666666664</v>
      </c>
      <c r="Y16" s="9">
        <v>0.44568783461538453</v>
      </c>
      <c r="Z16" s="9" t="str">
        <f>IF(COUNTIF(K$2:K16,K16)=1,SUMIF(K:K,K16,H:H)/SUMIF(K:K,K16,W:W),"")</f>
        <v/>
      </c>
      <c r="AA16" s="9" t="str">
        <f>IF(COUNTIF($M$2:M16,M16)=1, SUMIF(M:M,M16,X:X), "")</f>
        <v/>
      </c>
      <c r="AB16" s="9" t="str">
        <f>IF(COUNTIF($M$2:M16,M16)=1, SUMIF(M:M,M16,Y:Y), "")</f>
        <v/>
      </c>
    </row>
    <row r="17" spans="1:28" x14ac:dyDescent="0.35">
      <c r="A17" s="5">
        <f ca="1">IF(B17="","",COUNTA($B$2:B17))</f>
        <v>16</v>
      </c>
      <c r="B17" s="6">
        <f t="shared" ca="1" si="0"/>
        <v>46193</v>
      </c>
      <c r="C17" s="5" t="s">
        <v>81</v>
      </c>
      <c r="D17" s="5" t="s">
        <v>82</v>
      </c>
      <c r="E17" s="5" t="s">
        <v>79</v>
      </c>
      <c r="F17" s="5" t="s">
        <v>80</v>
      </c>
      <c r="G17" s="5">
        <v>240</v>
      </c>
      <c r="H17" s="7" t="str">
        <f>IF(COUNTIF($M$2:M17,M17)=1,
SUMIFS($G:$G,$M:$M,M17),
"")</f>
        <v/>
      </c>
      <c r="I17" s="7" t="str">
        <f>IF(E17&lt;&gt;E16,SUMIF(E:E,E17,X:X)," ")</f>
        <v xml:space="preserve"> </v>
      </c>
      <c r="J17" s="8" t="str">
        <f>IF(E17&lt;&gt;E16,SUMIF(E:E,E17,Y:Y)," ")</f>
        <v xml:space="preserve"> </v>
      </c>
      <c r="K17" s="5" t="s">
        <v>36</v>
      </c>
      <c r="L17" s="5" t="s">
        <v>56</v>
      </c>
      <c r="O17" s="9" t="str">
        <f>IF(Q17="","",COUNTIFS($M:$M,M17,$W:$W,"1"))</f>
        <v/>
      </c>
      <c r="P17" s="9" t="s">
        <v>28</v>
      </c>
      <c r="R17" s="5" t="s">
        <v>30</v>
      </c>
      <c r="S17" s="5">
        <v>243</v>
      </c>
      <c r="T17" s="9" t="str">
        <f t="shared" si="1"/>
        <v/>
      </c>
      <c r="V17" s="5" t="str">
        <f>VLOOKUP(E17,'[1]CH DCPT CẤP HÀNG'!$B:$I,8,0)</f>
        <v>GHN</v>
      </c>
      <c r="W17" s="9">
        <f>IF(COUNTIFS($M$2:$M17,M17,$E$2:$E17,E17)=1,1,0)</f>
        <v>0</v>
      </c>
      <c r="X17" s="9">
        <v>108.6090909090909</v>
      </c>
      <c r="Y17" s="9">
        <v>0.53555487513842337</v>
      </c>
      <c r="Z17" s="9" t="str">
        <f>IF(COUNTIF(K$2:K17,K17)=1,SUMIF(K:K,K17,H:H)/SUMIF(K:K,K17,W:W),"")</f>
        <v/>
      </c>
      <c r="AA17" s="9" t="str">
        <f>IF(COUNTIF($M$2:M17,M17)=1, SUMIF(M:M,M17,X:X), "")</f>
        <v/>
      </c>
      <c r="AB17" s="9" t="str">
        <f>IF(COUNTIF($M$2:M17,M17)=1, SUMIF(M:M,M17,Y:Y), "")</f>
        <v/>
      </c>
    </row>
    <row r="18" spans="1:28" x14ac:dyDescent="0.35">
      <c r="A18" s="5">
        <f ca="1">IF(B18="","",COUNTA($B$2:B18))</f>
        <v>17</v>
      </c>
      <c r="B18" s="6">
        <f t="shared" ca="1" si="0"/>
        <v>46193</v>
      </c>
      <c r="C18" s="5" t="s">
        <v>83</v>
      </c>
      <c r="D18" s="5" t="s">
        <v>84</v>
      </c>
      <c r="E18" s="5" t="s">
        <v>85</v>
      </c>
      <c r="F18" s="5" t="s">
        <v>86</v>
      </c>
      <c r="G18" s="5">
        <v>201</v>
      </c>
      <c r="H18" s="7" t="str">
        <f>IF(COUNTIF($M$2:M18,M18)=1,
SUMIFS($G:$G,$M:$M,M18),
"")</f>
        <v/>
      </c>
      <c r="I18" s="7">
        <f>IF(E18&lt;&gt;E17,SUMIF(E:E,E18,X:X)," ")</f>
        <v>118.00898947368418</v>
      </c>
      <c r="J18" s="8">
        <f>IF(E18&lt;&gt;E17,SUMIF(E:E,E18,Y:Y)," ")</f>
        <v>0.68386617110049519</v>
      </c>
      <c r="K18" s="5" t="s">
        <v>36</v>
      </c>
      <c r="L18" s="5" t="s">
        <v>56</v>
      </c>
      <c r="O18" s="9" t="str">
        <f>IF(Q18="","",COUNTIFS($M:$M,M18,$W:$W,"1"))</f>
        <v/>
      </c>
      <c r="P18" s="9" t="s">
        <v>28</v>
      </c>
      <c r="R18" s="5" t="s">
        <v>30</v>
      </c>
      <c r="S18" s="5">
        <v>244</v>
      </c>
      <c r="T18" s="9" t="str">
        <f t="shared" si="1"/>
        <v/>
      </c>
      <c r="V18" s="5" t="str">
        <f>VLOOKUP(E18,'[1]CH DCPT CẤP HÀNG'!$B:$I,8,0)</f>
        <v>GHN</v>
      </c>
      <c r="W18" s="9">
        <f>IF(COUNTIFS($M$2:$M18,M18,$E$2:$E18,E18)=1,1,0)</f>
        <v>0</v>
      </c>
      <c r="X18" s="9">
        <v>99.092989473684185</v>
      </c>
      <c r="Y18" s="9">
        <v>0.56772947879280289</v>
      </c>
      <c r="Z18" s="9" t="str">
        <f>IF(COUNTIF(K$2:K18,K18)=1,SUMIF(K:K,K18,H:H)/SUMIF(K:K,K18,W:W),"")</f>
        <v/>
      </c>
      <c r="AA18" s="9" t="str">
        <f>IF(COUNTIF($M$2:M18,M18)=1, SUMIF(M:M,M18,X:X), "")</f>
        <v/>
      </c>
      <c r="AB18" s="9" t="str">
        <f>IF(COUNTIF($M$2:M18,M18)=1, SUMIF(M:M,M18,Y:Y), "")</f>
        <v/>
      </c>
    </row>
    <row r="19" spans="1:28" x14ac:dyDescent="0.35">
      <c r="A19" s="5">
        <f ca="1">IF(B19="","",COUNTA($B$2:B19))</f>
        <v>18</v>
      </c>
      <c r="B19" s="6">
        <f t="shared" ca="1" si="0"/>
        <v>46193</v>
      </c>
      <c r="C19" s="5" t="s">
        <v>87</v>
      </c>
      <c r="D19" s="5" t="s">
        <v>88</v>
      </c>
      <c r="E19" s="5" t="s">
        <v>85</v>
      </c>
      <c r="F19" s="5" t="s">
        <v>86</v>
      </c>
      <c r="G19" s="5">
        <v>114</v>
      </c>
      <c r="H19" s="7" t="str">
        <f>IF(COUNTIF($M$2:M19,M19)=1,
SUMIFS($G:$G,$M:$M,M19),
"")</f>
        <v/>
      </c>
      <c r="I19" s="7" t="str">
        <f>IF(E19&lt;&gt;E18,SUMIF(E:E,E19,X:X)," ")</f>
        <v xml:space="preserve"> </v>
      </c>
      <c r="J19" s="8" t="str">
        <f>IF(E19&lt;&gt;E18,SUMIF(E:E,E19,Y:Y)," ")</f>
        <v xml:space="preserve"> </v>
      </c>
      <c r="K19" s="5" t="s">
        <v>36</v>
      </c>
      <c r="L19" s="5" t="s">
        <v>56</v>
      </c>
      <c r="O19" s="9" t="str">
        <f>IF(Q19="","",COUNTIFS($M:$M,M19,$W:$W,"1"))</f>
        <v/>
      </c>
      <c r="P19" s="9" t="s">
        <v>28</v>
      </c>
      <c r="R19" s="5" t="s">
        <v>30</v>
      </c>
      <c r="S19" s="5">
        <v>244</v>
      </c>
      <c r="T19" s="9" t="str">
        <f t="shared" si="1"/>
        <v/>
      </c>
      <c r="V19" s="5" t="str">
        <f>VLOOKUP(E19,'[1]CH DCPT CẤP HÀNG'!$B:$I,8,0)</f>
        <v>GHN</v>
      </c>
      <c r="W19" s="9">
        <f>IF(COUNTIFS($M$2:$M19,M19,$E$2:$E19,E19)=1,1,0)</f>
        <v>0</v>
      </c>
      <c r="X19" s="9">
        <v>18.916</v>
      </c>
      <c r="Y19" s="9">
        <v>0.1161366923076923</v>
      </c>
      <c r="Z19" s="9" t="str">
        <f>IF(COUNTIF(K$2:K19,K19)=1,SUMIF(K:K,K19,H:H)/SUMIF(K:K,K19,W:W),"")</f>
        <v/>
      </c>
      <c r="AA19" s="9" t="str">
        <f>IF(COUNTIF($M$2:M19,M19)=1, SUMIF(M:M,M19,X:X), "")</f>
        <v/>
      </c>
      <c r="AB19" s="9" t="str">
        <f>IF(COUNTIF($M$2:M19,M19)=1, SUMIF(M:M,M19,Y:Y), "")</f>
        <v/>
      </c>
    </row>
    <row r="20" spans="1:28" x14ac:dyDescent="0.35">
      <c r="A20" s="5">
        <f ca="1">IF(B20="","",COUNTA($B$2:B20))</f>
        <v>19</v>
      </c>
      <c r="B20" s="6">
        <f t="shared" ca="1" si="0"/>
        <v>46193</v>
      </c>
      <c r="C20" s="5" t="s">
        <v>89</v>
      </c>
      <c r="D20" s="5" t="s">
        <v>90</v>
      </c>
      <c r="E20" s="5" t="s">
        <v>91</v>
      </c>
      <c r="F20" s="5" t="s">
        <v>92</v>
      </c>
      <c r="G20" s="5">
        <v>110</v>
      </c>
      <c r="H20" s="7" t="str">
        <f>IF(COUNTIF($M$2:M20,M20)=1,
SUMIFS($G:$G,$M:$M,M20),
"")</f>
        <v/>
      </c>
      <c r="I20" s="7">
        <f>IF(E20&lt;&gt;E19,SUMIF(E:E,E20,X:X)," ")</f>
        <v>162.29874003189792</v>
      </c>
      <c r="J20" s="8">
        <f>IF(E20&lt;&gt;E19,SUMIF(E:E,E20,Y:Y)," ")</f>
        <v>0.94984463387415063</v>
      </c>
      <c r="K20" s="5" t="s">
        <v>36</v>
      </c>
      <c r="L20" s="5" t="s">
        <v>56</v>
      </c>
      <c r="O20" s="9" t="str">
        <f>IF(Q20="","",COUNTIFS($M:$M,M20,$W:$W,"1"))</f>
        <v/>
      </c>
      <c r="P20" s="9" t="s">
        <v>28</v>
      </c>
      <c r="R20" s="5" t="s">
        <v>30</v>
      </c>
      <c r="S20" s="5">
        <v>245</v>
      </c>
      <c r="T20" s="9" t="str">
        <f t="shared" si="1"/>
        <v/>
      </c>
      <c r="V20" s="5" t="str">
        <f>VLOOKUP(E20,'[1]CH DCPT CẤP HÀNG'!$B:$I,8,0)</f>
        <v>GHN</v>
      </c>
      <c r="W20" s="9">
        <f>IF(COUNTIFS($M$2:$M20,M20,$E$2:$E20,E20)=1,1,0)</f>
        <v>0</v>
      </c>
      <c r="X20" s="9">
        <v>55.189649122807012</v>
      </c>
      <c r="Y20" s="9">
        <v>0.40168113076923079</v>
      </c>
      <c r="Z20" s="9" t="str">
        <f>IF(COUNTIF(K$2:K20,K20)=1,SUMIF(K:K,K20,H:H)/SUMIF(K:K,K20,W:W),"")</f>
        <v/>
      </c>
      <c r="AA20" s="9" t="str">
        <f>IF(COUNTIF($M$2:M20,M20)=1, SUMIF(M:M,M20,X:X), "")</f>
        <v/>
      </c>
      <c r="AB20" s="9" t="str">
        <f>IF(COUNTIF($M$2:M20,M20)=1, SUMIF(M:M,M20,Y:Y), "")</f>
        <v/>
      </c>
    </row>
    <row r="21" spans="1:28" x14ac:dyDescent="0.35">
      <c r="A21" s="5">
        <f ca="1">IF(B21="","",COUNTA($B$2:B21))</f>
        <v>20</v>
      </c>
      <c r="B21" s="6">
        <f t="shared" ca="1" si="0"/>
        <v>46193</v>
      </c>
      <c r="C21" s="5" t="s">
        <v>93</v>
      </c>
      <c r="D21" s="5" t="s">
        <v>94</v>
      </c>
      <c r="E21" s="5" t="s">
        <v>91</v>
      </c>
      <c r="F21" s="5" t="s">
        <v>92</v>
      </c>
      <c r="G21" s="5">
        <v>230</v>
      </c>
      <c r="H21" s="7" t="str">
        <f>IF(COUNTIF($M$2:M21,M21)=1,
SUMIFS($G:$G,$M:$M,M21),
"")</f>
        <v/>
      </c>
      <c r="I21" s="7" t="str">
        <f>IF(E21&lt;&gt;E20,SUMIF(E:E,E21,X:X)," ")</f>
        <v xml:space="preserve"> </v>
      </c>
      <c r="J21" s="8" t="str">
        <f>IF(E21&lt;&gt;E20,SUMIF(E:E,E21,Y:Y)," ")</f>
        <v xml:space="preserve"> </v>
      </c>
      <c r="K21" s="5" t="s">
        <v>36</v>
      </c>
      <c r="L21" s="5" t="s">
        <v>56</v>
      </c>
      <c r="O21" s="9" t="str">
        <f>IF(Q21="","",COUNTIFS($M:$M,M21,$W:$W,"1"))</f>
        <v/>
      </c>
      <c r="P21" s="9" t="s">
        <v>28</v>
      </c>
      <c r="R21" s="5" t="s">
        <v>30</v>
      </c>
      <c r="S21" s="5">
        <v>245</v>
      </c>
      <c r="T21" s="9" t="str">
        <f t="shared" si="1"/>
        <v/>
      </c>
      <c r="V21" s="5" t="str">
        <f>VLOOKUP(E21,'[1]CH DCPT CẤP HÀNG'!$B:$I,8,0)</f>
        <v>GHN</v>
      </c>
      <c r="W21" s="9">
        <f>IF(COUNTIFS($M$2:$M21,M21,$E$2:$E21,E21)=1,1,0)</f>
        <v>0</v>
      </c>
      <c r="X21" s="9">
        <v>107.1090909090909</v>
      </c>
      <c r="Y21" s="9">
        <v>0.5481635031049199</v>
      </c>
      <c r="Z21" s="9" t="str">
        <f>IF(COUNTIF(K$2:K21,K21)=1,SUMIF(K:K,K21,H:H)/SUMIF(K:K,K21,W:W),"")</f>
        <v/>
      </c>
      <c r="AA21" s="9" t="str">
        <f>IF(COUNTIF($M$2:M21,M21)=1, SUMIF(M:M,M21,X:X), "")</f>
        <v/>
      </c>
      <c r="AB21" s="9" t="str">
        <f>IF(COUNTIF($M$2:M21,M21)=1, SUMIF(M:M,M21,Y:Y), "")</f>
        <v/>
      </c>
    </row>
    <row r="22" spans="1:28" x14ac:dyDescent="0.35">
      <c r="A22" s="5">
        <f ca="1">IF(B22="","",COUNTA($B$2:B22))</f>
        <v>21</v>
      </c>
      <c r="B22" s="6">
        <f t="shared" ca="1" si="0"/>
        <v>46193</v>
      </c>
      <c r="C22" s="5" t="s">
        <v>95</v>
      </c>
      <c r="D22" s="5" t="s">
        <v>96</v>
      </c>
      <c r="E22" s="5" t="s">
        <v>97</v>
      </c>
      <c r="F22" s="5" t="s">
        <v>98</v>
      </c>
      <c r="G22" s="5">
        <v>231</v>
      </c>
      <c r="H22" s="7" t="str">
        <f>IF(COUNTIF($M$2:M22,M22)=1,
SUMIFS($G:$G,$M:$M,M22),
"")</f>
        <v/>
      </c>
      <c r="I22" s="7">
        <f>IF(E22&lt;&gt;E21,SUMIF(E:E,E22,X:X)," ")</f>
        <v>431.01222727272727</v>
      </c>
      <c r="J22" s="8">
        <f>IF(E22&lt;&gt;E21,SUMIF(E:E,E22,Y:Y)," ")</f>
        <v>1.7067193110365142</v>
      </c>
      <c r="K22" s="5" t="s">
        <v>36</v>
      </c>
      <c r="L22" s="5" t="s">
        <v>56</v>
      </c>
      <c r="O22" s="9" t="str">
        <f>IF(Q22="","",COUNTIFS($M:$M,M22,$W:$W,"1"))</f>
        <v/>
      </c>
      <c r="P22" s="9" t="s">
        <v>28</v>
      </c>
      <c r="R22" s="5" t="s">
        <v>30</v>
      </c>
      <c r="S22" s="5">
        <v>246</v>
      </c>
      <c r="T22" s="9" t="str">
        <f t="shared" si="1"/>
        <v/>
      </c>
      <c r="V22" s="5" t="str">
        <f>VLOOKUP(E22,'[1]CH DCPT CẤP HÀNG'!$B:$I,8,0)</f>
        <v>GHN</v>
      </c>
      <c r="W22" s="9">
        <f>IF(COUNTIFS($M$2:$M22,M22,$E$2:$E22,E22)=1,1,0)</f>
        <v>0</v>
      </c>
      <c r="X22" s="9">
        <v>177.90749999999997</v>
      </c>
      <c r="Y22" s="9">
        <v>0.71343390635981996</v>
      </c>
      <c r="Z22" s="9" t="str">
        <f>IF(COUNTIF(K$2:K22,K22)=1,SUMIF(K:K,K22,H:H)/SUMIF(K:K,K22,W:W),"")</f>
        <v/>
      </c>
      <c r="AA22" s="9" t="str">
        <f>IF(COUNTIF($M$2:M22,M22)=1, SUMIF(M:M,M22,X:X), "")</f>
        <v/>
      </c>
      <c r="AB22" s="9" t="str">
        <f>IF(COUNTIF($M$2:M22,M22)=1, SUMIF(M:M,M22,Y:Y), "")</f>
        <v/>
      </c>
    </row>
    <row r="23" spans="1:28" x14ac:dyDescent="0.35">
      <c r="A23" s="5">
        <f ca="1">IF(B23="","",COUNTA($B$2:B23))</f>
        <v>22</v>
      </c>
      <c r="B23" s="6">
        <f t="shared" ca="1" si="0"/>
        <v>46193</v>
      </c>
      <c r="C23" s="5" t="s">
        <v>99</v>
      </c>
      <c r="D23" s="5" t="s">
        <v>100</v>
      </c>
      <c r="E23" s="5" t="s">
        <v>97</v>
      </c>
      <c r="F23" s="5" t="s">
        <v>98</v>
      </c>
      <c r="G23" s="5">
        <v>442</v>
      </c>
      <c r="H23" s="7" t="str">
        <f>IF(COUNTIF($M$2:M23,M23)=1,
SUMIFS($G:$G,$M:$M,M23),
"")</f>
        <v/>
      </c>
      <c r="I23" s="7" t="str">
        <f>IF(E23&lt;&gt;E22,SUMIF(E:E,E23,X:X)," ")</f>
        <v xml:space="preserve"> </v>
      </c>
      <c r="J23" s="8" t="str">
        <f>IF(E23&lt;&gt;E22,SUMIF(E:E,E23,Y:Y)," ")</f>
        <v xml:space="preserve"> </v>
      </c>
      <c r="K23" s="5" t="s">
        <v>36</v>
      </c>
      <c r="L23" s="5" t="s">
        <v>56</v>
      </c>
      <c r="O23" s="9" t="str">
        <f>IF(Q23="","",COUNTIFS($M:$M,M23,$W:$W,"1"))</f>
        <v/>
      </c>
      <c r="P23" s="9" t="s">
        <v>28</v>
      </c>
      <c r="R23" s="5" t="s">
        <v>30</v>
      </c>
      <c r="S23" s="5">
        <v>246</v>
      </c>
      <c r="T23" s="9" t="str">
        <f t="shared" si="1"/>
        <v/>
      </c>
      <c r="V23" s="5" t="str">
        <f>VLOOKUP(E23,'[1]CH DCPT CẤP HÀNG'!$B:$I,8,0)</f>
        <v>GHN</v>
      </c>
      <c r="W23" s="9">
        <f>IF(COUNTIFS($M$2:$M23,M23,$E$2:$E23,E23)=1,1,0)</f>
        <v>0</v>
      </c>
      <c r="X23" s="9">
        <v>253.10472727272727</v>
      </c>
      <c r="Y23" s="9">
        <v>0.99328540467669424</v>
      </c>
      <c r="Z23" s="9" t="str">
        <f>IF(COUNTIF(K$2:K23,K23)=1,SUMIF(K:K,K23,H:H)/SUMIF(K:K,K23,W:W),"")</f>
        <v/>
      </c>
      <c r="AA23" s="9" t="str">
        <f>IF(COUNTIF($M$2:M23,M23)=1, SUMIF(M:M,M23,X:X), "")</f>
        <v/>
      </c>
      <c r="AB23" s="9" t="str">
        <f>IF(COUNTIF($M$2:M23,M23)=1, SUMIF(M:M,M23,Y:Y), "")</f>
        <v/>
      </c>
    </row>
    <row r="24" spans="1:28" x14ac:dyDescent="0.35">
      <c r="A24" s="5">
        <f ca="1">IF(B24="","",COUNTA($B$2:B24))</f>
        <v>23</v>
      </c>
      <c r="B24" s="6">
        <f t="shared" ca="1" si="0"/>
        <v>46193</v>
      </c>
      <c r="C24" s="5" t="s">
        <v>101</v>
      </c>
      <c r="D24" s="5" t="s">
        <v>102</v>
      </c>
      <c r="E24" s="5" t="s">
        <v>103</v>
      </c>
      <c r="F24" s="5" t="s">
        <v>104</v>
      </c>
      <c r="G24" s="5">
        <v>82</v>
      </c>
      <c r="H24" s="7" t="str">
        <f>IF(COUNTIF($M$2:M24,M24)=1,
SUMIFS($G:$G,$M:$M,M24),
"")</f>
        <v/>
      </c>
      <c r="I24" s="7">
        <f>IF(E24&lt;&gt;E23,SUMIF(E:E,E24,X:X)," ")</f>
        <v>97.150969696969696</v>
      </c>
      <c r="J24" s="8">
        <f>IF(E24&lt;&gt;E23,SUMIF(E:E,E24,Y:Y)," ")</f>
        <v>0.4901178956713248</v>
      </c>
      <c r="K24" s="5" t="s">
        <v>36</v>
      </c>
      <c r="L24" s="5" t="s">
        <v>56</v>
      </c>
      <c r="O24" s="9" t="str">
        <f>IF(Q24="","",COUNTIFS($M:$M,M24,$W:$W,"1"))</f>
        <v/>
      </c>
      <c r="P24" s="9" t="s">
        <v>28</v>
      </c>
      <c r="R24" s="5" t="s">
        <v>30</v>
      </c>
      <c r="S24" s="5">
        <v>247</v>
      </c>
      <c r="T24" s="9" t="str">
        <f t="shared" si="1"/>
        <v/>
      </c>
      <c r="V24" s="5" t="str">
        <f>VLOOKUP(E24,'[1]CH DCPT CẤP HÀNG'!$B:$I,8,0)</f>
        <v>GHN</v>
      </c>
      <c r="W24" s="9">
        <f>IF(COUNTIFS($M$2:$M24,M24,$E$2:$E24,E24)=1,1,0)</f>
        <v>0</v>
      </c>
      <c r="X24" s="9">
        <v>47.887333333333331</v>
      </c>
      <c r="Y24" s="9">
        <v>0.24627485410486638</v>
      </c>
      <c r="Z24" s="9" t="str">
        <f>IF(COUNTIF(K$2:K24,K24)=1,SUMIF(K:K,K24,H:H)/SUMIF(K:K,K24,W:W),"")</f>
        <v/>
      </c>
      <c r="AA24" s="9" t="str">
        <f>IF(COUNTIF($M$2:M24,M24)=1, SUMIF(M:M,M24,X:X), "")</f>
        <v/>
      </c>
      <c r="AB24" s="9" t="str">
        <f>IF(COUNTIF($M$2:M24,M24)=1, SUMIF(M:M,M24,Y:Y), "")</f>
        <v/>
      </c>
    </row>
    <row r="25" spans="1:28" x14ac:dyDescent="0.35">
      <c r="A25" s="5">
        <f ca="1">IF(B25="","",COUNTA($B$2:B25))</f>
        <v>24</v>
      </c>
      <c r="B25" s="6">
        <f t="shared" ca="1" si="0"/>
        <v>46193</v>
      </c>
      <c r="C25" s="5" t="s">
        <v>105</v>
      </c>
      <c r="D25" s="5" t="s">
        <v>106</v>
      </c>
      <c r="E25" s="5" t="s">
        <v>103</v>
      </c>
      <c r="F25" s="5" t="s">
        <v>104</v>
      </c>
      <c r="G25" s="5">
        <v>74</v>
      </c>
      <c r="H25" s="7" t="str">
        <f>IF(COUNTIF($M$2:M25,M25)=1,
SUMIFS($G:$G,$M:$M,M25),
"")</f>
        <v/>
      </c>
      <c r="I25" s="7" t="str">
        <f>IF(E25&lt;&gt;E24,SUMIF(E:E,E25,X:X)," ")</f>
        <v xml:space="preserve"> </v>
      </c>
      <c r="J25" s="8" t="str">
        <f>IF(E25&lt;&gt;E24,SUMIF(E:E,E25,Y:Y)," ")</f>
        <v xml:space="preserve"> </v>
      </c>
      <c r="K25" s="5" t="s">
        <v>36</v>
      </c>
      <c r="L25" s="5" t="s">
        <v>56</v>
      </c>
      <c r="O25" s="9" t="str">
        <f>IF(Q25="","",COUNTIFS($M:$M,M25,$W:$W,"1"))</f>
        <v/>
      </c>
      <c r="P25" s="9" t="s">
        <v>28</v>
      </c>
      <c r="R25" s="5" t="s">
        <v>30</v>
      </c>
      <c r="S25" s="5">
        <v>247</v>
      </c>
      <c r="T25" s="9" t="str">
        <f t="shared" si="1"/>
        <v/>
      </c>
      <c r="V25" s="5" t="str">
        <f>VLOOKUP(E25,'[1]CH DCPT CẤP HÀNG'!$B:$I,8,0)</f>
        <v>GHN</v>
      </c>
      <c r="W25" s="9">
        <f>IF(COUNTIFS($M$2:$M25,M25,$E$2:$E25,E25)=1,1,0)</f>
        <v>0</v>
      </c>
      <c r="X25" s="9">
        <v>49.263636363636365</v>
      </c>
      <c r="Y25" s="9">
        <v>0.24384304156645839</v>
      </c>
      <c r="Z25" s="9" t="str">
        <f>IF(COUNTIF(K$2:K25,K25)=1,SUMIF(K:K,K25,H:H)/SUMIF(K:K,K25,W:W),"")</f>
        <v/>
      </c>
      <c r="AA25" s="9" t="str">
        <f>IF(COUNTIF($M$2:M25,M25)=1, SUMIF(M:M,M25,X:X), "")</f>
        <v/>
      </c>
      <c r="AB25" s="9" t="str">
        <f>IF(COUNTIF($M$2:M25,M25)=1, SUMIF(M:M,M25,Y:Y), "")</f>
        <v/>
      </c>
    </row>
    <row r="26" spans="1:28" x14ac:dyDescent="0.35">
      <c r="A26" s="5">
        <f ca="1">IF(B26="","",COUNTA($B$2:B26))</f>
        <v>25</v>
      </c>
      <c r="B26" s="6">
        <f t="shared" ca="1" si="0"/>
        <v>46193</v>
      </c>
      <c r="C26" s="5" t="s">
        <v>107</v>
      </c>
      <c r="D26" s="5" t="s">
        <v>108</v>
      </c>
      <c r="E26" s="5" t="s">
        <v>109</v>
      </c>
      <c r="F26" s="5" t="s">
        <v>110</v>
      </c>
      <c r="G26" s="5">
        <v>127</v>
      </c>
      <c r="H26" s="7" t="str">
        <f>IF(COUNTIF($M$2:M26,M26)=1,
SUMIFS($G:$G,$M:$M,M26),
"")</f>
        <v/>
      </c>
      <c r="I26" s="7">
        <f>IF(E26&lt;&gt;E25,SUMIF(E:E,E26,X:X)," ")</f>
        <v>158.98122424242422</v>
      </c>
      <c r="J26" s="8">
        <f>IF(E26&lt;&gt;E25,SUMIF(E:E,E26,Y:Y)," ")</f>
        <v>0.93648506059848668</v>
      </c>
      <c r="K26" s="5" t="s">
        <v>36</v>
      </c>
      <c r="L26" s="5" t="s">
        <v>56</v>
      </c>
      <c r="O26" s="9" t="str">
        <f>IF(Q26="","",COUNTIFS($M:$M,M26,$W:$W,"1"))</f>
        <v/>
      </c>
      <c r="P26" s="9" t="s">
        <v>28</v>
      </c>
      <c r="R26" s="5" t="s">
        <v>30</v>
      </c>
      <c r="S26" s="5">
        <v>248</v>
      </c>
      <c r="T26" s="9" t="str">
        <f t="shared" si="1"/>
        <v/>
      </c>
      <c r="V26" s="5" t="str">
        <f>VLOOKUP(E26,'[1]CH DCPT CẤP HÀNG'!$B:$I,8,0)</f>
        <v>GHN</v>
      </c>
      <c r="W26" s="9">
        <f>IF(COUNTIFS($M$2:$M26,M26,$E$2:$E26,E26)=1,1,0)</f>
        <v>0</v>
      </c>
      <c r="X26" s="9">
        <v>64.391333333333321</v>
      </c>
      <c r="Y26" s="9">
        <v>0.42860140364741284</v>
      </c>
      <c r="Z26" s="9" t="str">
        <f>IF(COUNTIF(K$2:K26,K26)=1,SUMIF(K:K,K26,H:H)/SUMIF(K:K,K26,W:W),"")</f>
        <v/>
      </c>
      <c r="AA26" s="9" t="str">
        <f>IF(COUNTIF($M$2:M26,M26)=1, SUMIF(M:M,M26,X:X), "")</f>
        <v/>
      </c>
      <c r="AB26" s="9" t="str">
        <f>IF(COUNTIF($M$2:M26,M26)=1, SUMIF(M:M,M26,Y:Y), "")</f>
        <v/>
      </c>
    </row>
    <row r="27" spans="1:28" x14ac:dyDescent="0.35">
      <c r="A27" s="5">
        <f ca="1">IF(B27="","",COUNTA($B$2:B27))</f>
        <v>26</v>
      </c>
      <c r="B27" s="6">
        <f t="shared" ca="1" si="0"/>
        <v>46193</v>
      </c>
      <c r="C27" s="5" t="s">
        <v>111</v>
      </c>
      <c r="D27" s="5" t="s">
        <v>112</v>
      </c>
      <c r="E27" s="5" t="s">
        <v>109</v>
      </c>
      <c r="F27" s="5" t="s">
        <v>110</v>
      </c>
      <c r="G27" s="5">
        <v>332</v>
      </c>
      <c r="H27" s="7" t="str">
        <f>IF(COUNTIF($M$2:M27,M27)=1,
SUMIFS($G:$G,$M:$M,M27),
"")</f>
        <v/>
      </c>
      <c r="I27" s="7" t="str">
        <f>IF(E27&lt;&gt;E26,SUMIF(E:E,E27,X:X)," ")</f>
        <v xml:space="preserve"> </v>
      </c>
      <c r="J27" s="8" t="str">
        <f>IF(E27&lt;&gt;E26,SUMIF(E:E,E27,Y:Y)," ")</f>
        <v xml:space="preserve"> </v>
      </c>
      <c r="K27" s="5" t="s">
        <v>36</v>
      </c>
      <c r="L27" s="5" t="s">
        <v>56</v>
      </c>
      <c r="O27" s="9" t="str">
        <f>IF(Q27="","",COUNTIFS($M:$M,M27,$W:$W,"1"))</f>
        <v/>
      </c>
      <c r="P27" s="9" t="s">
        <v>28</v>
      </c>
      <c r="R27" s="5" t="s">
        <v>30</v>
      </c>
      <c r="S27" s="5">
        <v>248</v>
      </c>
      <c r="T27" s="9" t="str">
        <f t="shared" si="1"/>
        <v/>
      </c>
      <c r="V27" s="5" t="str">
        <f>VLOOKUP(E27,'[1]CH DCPT CẤP HÀNG'!$B:$I,8,0)</f>
        <v>GHN</v>
      </c>
      <c r="W27" s="9">
        <f>IF(COUNTIFS($M$2:$M27,M27,$E$2:$E27,E27)=1,1,0)</f>
        <v>0</v>
      </c>
      <c r="X27" s="9">
        <v>94.589890909090911</v>
      </c>
      <c r="Y27" s="9">
        <v>0.50788365695107385</v>
      </c>
      <c r="Z27" s="9" t="str">
        <f>IF(COUNTIF(K$2:K27,K27)=1,SUMIF(K:K,K27,H:H)/SUMIF(K:K,K27,W:W),"")</f>
        <v/>
      </c>
      <c r="AA27" s="9" t="str">
        <f>IF(COUNTIF($M$2:M27,M27)=1, SUMIF(M:M,M27,X:X), "")</f>
        <v/>
      </c>
      <c r="AB27" s="9" t="str">
        <f>IF(COUNTIF($M$2:M27,M27)=1, SUMIF(M:M,M27,Y:Y), "")</f>
        <v/>
      </c>
    </row>
    <row r="28" spans="1:28" x14ac:dyDescent="0.35">
      <c r="A28" s="5">
        <f ca="1">IF(B28="","",COUNTA($B$2:B28))</f>
        <v>27</v>
      </c>
      <c r="B28" s="6">
        <f t="shared" ca="1" si="0"/>
        <v>46193</v>
      </c>
      <c r="C28" s="5" t="s">
        <v>113</v>
      </c>
      <c r="D28" s="5" t="s">
        <v>114</v>
      </c>
      <c r="E28" s="5" t="s">
        <v>115</v>
      </c>
      <c r="F28" s="5" t="s">
        <v>116</v>
      </c>
      <c r="G28" s="5">
        <v>169</v>
      </c>
      <c r="H28" s="7" t="str">
        <f>IF(COUNTIF($M$2:M28,M28)=1,
SUMIFS($G:$G,$M:$M,M28),
"")</f>
        <v/>
      </c>
      <c r="I28" s="7">
        <f>IF(E28&lt;&gt;E27,SUMIF(E:E,E28,X:X)," ")</f>
        <v>291.95525358851671</v>
      </c>
      <c r="J28" s="8">
        <f>IF(E28&lt;&gt;E27,SUMIF(E:E,E28,Y:Y)," ")</f>
        <v>1.3579190768074192</v>
      </c>
      <c r="K28" s="5" t="s">
        <v>36</v>
      </c>
      <c r="L28" s="5" t="s">
        <v>56</v>
      </c>
      <c r="O28" s="9" t="str">
        <f>IF(Q28="","",COUNTIFS($M:$M,M28,$W:$W,"1"))</f>
        <v/>
      </c>
      <c r="P28" s="9" t="s">
        <v>28</v>
      </c>
      <c r="R28" s="5" t="s">
        <v>30</v>
      </c>
      <c r="S28" s="5">
        <v>249</v>
      </c>
      <c r="T28" s="9" t="str">
        <f t="shared" si="1"/>
        <v/>
      </c>
      <c r="V28" s="5" t="str">
        <f>VLOOKUP(E28,'[1]CH DCPT CẤP HÀNG'!$B:$I,8,0)</f>
        <v>GHN</v>
      </c>
      <c r="W28" s="9">
        <f>IF(COUNTIFS($M$2:$M28,M28,$E$2:$E28,E28)=1,1,0)</f>
        <v>0</v>
      </c>
      <c r="X28" s="9">
        <v>172.48252631578947</v>
      </c>
      <c r="Y28" s="9">
        <v>0.69950154164099887</v>
      </c>
      <c r="Z28" s="9" t="str">
        <f>IF(COUNTIF(K$2:K28,K28)=1,SUMIF(K:K,K28,H:H)/SUMIF(K:K,K28,W:W),"")</f>
        <v/>
      </c>
      <c r="AA28" s="9" t="str">
        <f>IF(COUNTIF($M$2:M28,M28)=1, SUMIF(M:M,M28,X:X), "")</f>
        <v/>
      </c>
      <c r="AB28" s="9" t="str">
        <f>IF(COUNTIF($M$2:M28,M28)=1, SUMIF(M:M,M28,Y:Y), "")</f>
        <v/>
      </c>
    </row>
    <row r="29" spans="1:28" x14ac:dyDescent="0.35">
      <c r="A29" s="5">
        <f ca="1">IF(B29="","",COUNTA($B$2:B29))</f>
        <v>28</v>
      </c>
      <c r="B29" s="6">
        <f t="shared" ca="1" si="0"/>
        <v>46193</v>
      </c>
      <c r="C29" s="5" t="s">
        <v>117</v>
      </c>
      <c r="D29" s="5" t="s">
        <v>118</v>
      </c>
      <c r="E29" s="5" t="s">
        <v>115</v>
      </c>
      <c r="F29" s="5" t="s">
        <v>116</v>
      </c>
      <c r="G29" s="5">
        <v>284</v>
      </c>
      <c r="H29" s="7" t="str">
        <f>IF(COUNTIF($M$2:M29,M29)=1,
SUMIFS($G:$G,$M:$M,M29),
"")</f>
        <v/>
      </c>
      <c r="I29" s="7" t="str">
        <f>IF(E29&lt;&gt;E28,SUMIF(E:E,E29,X:X)," ")</f>
        <v xml:space="preserve"> </v>
      </c>
      <c r="J29" s="8" t="str">
        <f>IF(E29&lt;&gt;E28,SUMIF(E:E,E29,Y:Y)," ")</f>
        <v xml:space="preserve"> </v>
      </c>
      <c r="K29" s="5" t="s">
        <v>36</v>
      </c>
      <c r="L29" s="5" t="s">
        <v>56</v>
      </c>
      <c r="O29" s="9" t="str">
        <f>IF(Q29="","",COUNTIFS($M:$M,M29,$W:$W,"1"))</f>
        <v/>
      </c>
      <c r="P29" s="9" t="s">
        <v>28</v>
      </c>
      <c r="R29" s="5" t="s">
        <v>30</v>
      </c>
      <c r="S29" s="5">
        <v>249</v>
      </c>
      <c r="T29" s="9" t="str">
        <f t="shared" si="1"/>
        <v/>
      </c>
      <c r="V29" s="5" t="str">
        <f>VLOOKUP(E29,'[1]CH DCPT CẤP HÀNG'!$B:$I,8,0)</f>
        <v>GHN</v>
      </c>
      <c r="W29" s="9">
        <f>IF(COUNTIFS($M$2:$M29,M29,$E$2:$E29,E29)=1,1,0)</f>
        <v>0</v>
      </c>
      <c r="X29" s="9">
        <v>119.47272727272727</v>
      </c>
      <c r="Y29" s="9">
        <v>0.65841753516642032</v>
      </c>
      <c r="Z29" s="9" t="str">
        <f>IF(COUNTIF(K$2:K29,K29)=1,SUMIF(K:K,K29,H:H)/SUMIF(K:K,K29,W:W),"")</f>
        <v/>
      </c>
      <c r="AA29" s="9" t="str">
        <f>IF(COUNTIF($M$2:M29,M29)=1, SUMIF(M:M,M29,X:X), "")</f>
        <v/>
      </c>
      <c r="AB29" s="9" t="str">
        <f>IF(COUNTIF($M$2:M29,M29)=1, SUMIF(M:M,M29,Y:Y), "")</f>
        <v/>
      </c>
    </row>
    <row r="30" spans="1:28" x14ac:dyDescent="0.35">
      <c r="A30" s="5">
        <f ca="1">IF(B30="","",COUNTA($B$2:B30))</f>
        <v>29</v>
      </c>
      <c r="B30" s="6">
        <f t="shared" ca="1" si="0"/>
        <v>46193</v>
      </c>
      <c r="C30" s="5" t="s">
        <v>119</v>
      </c>
      <c r="D30" s="5" t="s">
        <v>120</v>
      </c>
      <c r="E30" s="5" t="s">
        <v>121</v>
      </c>
      <c r="F30" s="5" t="s">
        <v>122</v>
      </c>
      <c r="G30" s="5">
        <v>154</v>
      </c>
      <c r="H30" s="7" t="str">
        <f>IF(COUNTIF($M$2:M30,M30)=1,
SUMIFS($G:$G,$M:$M,M30),
"")</f>
        <v/>
      </c>
      <c r="I30" s="7">
        <f>IF(E30&lt;&gt;E29,SUMIF(E:E,E30,X:X)," ")</f>
        <v>318.41137756512489</v>
      </c>
      <c r="J30" s="8">
        <f>IF(E30&lt;&gt;E29,SUMIF(E:E,E30,Y:Y)," ")</f>
        <v>1.4612892587628505</v>
      </c>
      <c r="K30" s="5" t="s">
        <v>36</v>
      </c>
      <c r="L30" s="5" t="s">
        <v>123</v>
      </c>
      <c r="O30" s="9" t="str">
        <f>IF(Q30="","",COUNTIFS($M:$M,M30,$W:$W,"1"))</f>
        <v/>
      </c>
      <c r="P30" s="9" t="s">
        <v>28</v>
      </c>
      <c r="R30" s="5" t="s">
        <v>30</v>
      </c>
      <c r="S30" s="5">
        <v>250</v>
      </c>
      <c r="T30" s="9" t="str">
        <f t="shared" si="1"/>
        <v/>
      </c>
      <c r="V30" s="5" t="str">
        <f>VLOOKUP(E30,'[1]CH DCPT CẤP HÀNG'!$B:$I,8,0)</f>
        <v>GHN</v>
      </c>
      <c r="W30" s="9">
        <f>IF(COUNTIFS($M$2:$M30,M30,$E$2:$E30,E30)=1,1,0)</f>
        <v>0</v>
      </c>
      <c r="X30" s="9">
        <v>124.69145029239762</v>
      </c>
      <c r="Y30" s="9">
        <v>0.58604879128873799</v>
      </c>
      <c r="Z30" s="9" t="str">
        <f>IF(COUNTIF(K$2:K30,K30)=1,SUMIF(K:K,K30,H:H)/SUMIF(K:K,K30,W:W),"")</f>
        <v/>
      </c>
      <c r="AA30" s="9" t="str">
        <f>IF(COUNTIF($M$2:M30,M30)=1, SUMIF(M:M,M30,X:X), "")</f>
        <v/>
      </c>
      <c r="AB30" s="9" t="str">
        <f>IF(COUNTIF($M$2:M30,M30)=1, SUMIF(M:M,M30,Y:Y), "")</f>
        <v/>
      </c>
    </row>
    <row r="31" spans="1:28" x14ac:dyDescent="0.35">
      <c r="A31" s="5">
        <f ca="1">IF(B31="","",COUNTA($B$2:B31))</f>
        <v>30</v>
      </c>
      <c r="B31" s="6">
        <f t="shared" ca="1" si="0"/>
        <v>46193</v>
      </c>
      <c r="C31" s="5" t="s">
        <v>124</v>
      </c>
      <c r="D31" s="5" t="s">
        <v>125</v>
      </c>
      <c r="E31" s="5" t="s">
        <v>121</v>
      </c>
      <c r="F31" s="5" t="s">
        <v>122</v>
      </c>
      <c r="G31" s="5">
        <v>518</v>
      </c>
      <c r="H31" s="7" t="str">
        <f>IF(COUNTIF($M$2:M31,M31)=1,
SUMIFS($G:$G,$M:$M,M31),
"")</f>
        <v/>
      </c>
      <c r="I31" s="7" t="str">
        <f>IF(E31&lt;&gt;E30,SUMIF(E:E,E31,X:X)," ")</f>
        <v xml:space="preserve"> </v>
      </c>
      <c r="J31" s="8" t="str">
        <f>IF(E31&lt;&gt;E30,SUMIF(E:E,E31,Y:Y)," ")</f>
        <v xml:space="preserve"> </v>
      </c>
      <c r="K31" s="5" t="s">
        <v>36</v>
      </c>
      <c r="L31" s="5" t="s">
        <v>123</v>
      </c>
      <c r="O31" s="9" t="str">
        <f>IF(Q31="","",COUNTIFS($M:$M,M31,$W:$W,"1"))</f>
        <v/>
      </c>
      <c r="P31" s="9" t="s">
        <v>28</v>
      </c>
      <c r="R31" s="5" t="s">
        <v>30</v>
      </c>
      <c r="S31" s="5">
        <v>250</v>
      </c>
      <c r="T31" s="9" t="str">
        <f t="shared" si="1"/>
        <v/>
      </c>
      <c r="V31" s="5" t="str">
        <f>VLOOKUP(E31,'[1]CH DCPT CẤP HÀNG'!$B:$I,8,0)</f>
        <v>GHN</v>
      </c>
      <c r="W31" s="9">
        <f>IF(COUNTIFS($M$2:$M31,M31,$E$2:$E31,E31)=1,1,0)</f>
        <v>0</v>
      </c>
      <c r="X31" s="9">
        <v>193.71992727272726</v>
      </c>
      <c r="Y31" s="9">
        <v>0.87524046747411255</v>
      </c>
      <c r="Z31" s="9" t="str">
        <f>IF(COUNTIF(K$2:K31,K31)=1,SUMIF(K:K,K31,H:H)/SUMIF(K:K,K31,W:W),"")</f>
        <v/>
      </c>
      <c r="AA31" s="9" t="str">
        <f>IF(COUNTIF($M$2:M31,M31)=1, SUMIF(M:M,M31,X:X), "")</f>
        <v/>
      </c>
      <c r="AB31" s="9" t="str">
        <f>IF(COUNTIF($M$2:M31,M31)=1, SUMIF(M:M,M31,Y:Y), "")</f>
        <v/>
      </c>
    </row>
    <row r="32" spans="1:28" x14ac:dyDescent="0.35">
      <c r="A32" s="5">
        <f ca="1">IF(B32="","",COUNTA($B$2:B32))</f>
        <v>31</v>
      </c>
      <c r="B32" s="6">
        <f t="shared" ca="1" si="0"/>
        <v>46193</v>
      </c>
      <c r="C32" s="5" t="s">
        <v>126</v>
      </c>
      <c r="D32" s="5" t="s">
        <v>127</v>
      </c>
      <c r="E32" s="5" t="s">
        <v>128</v>
      </c>
      <c r="F32" s="5" t="s">
        <v>129</v>
      </c>
      <c r="G32" s="5">
        <v>278</v>
      </c>
      <c r="H32" s="7" t="str">
        <f>IF(COUNTIF($M$2:M32,M32)=1,
SUMIFS($G:$G,$M:$M,M32),
"")</f>
        <v/>
      </c>
      <c r="I32" s="7">
        <f>IF(E32&lt;&gt;E31,SUMIF(E:E,E32,X:X)," ")</f>
        <v>254.43256645401377</v>
      </c>
      <c r="J32" s="8">
        <f>IF(E32&lt;&gt;E31,SUMIF(E:E,E32,Y:Y)," ")</f>
        <v>1.4270230825885015</v>
      </c>
      <c r="K32" s="5" t="s">
        <v>36</v>
      </c>
      <c r="L32" s="5" t="s">
        <v>123</v>
      </c>
      <c r="O32" s="9" t="str">
        <f>IF(Q32="","",COUNTIFS($M:$M,M32,$W:$W,"1"))</f>
        <v/>
      </c>
      <c r="P32" s="9" t="s">
        <v>28</v>
      </c>
      <c r="R32" s="5" t="s">
        <v>30</v>
      </c>
      <c r="S32" s="5">
        <v>251</v>
      </c>
      <c r="T32" s="9" t="str">
        <f t="shared" si="1"/>
        <v/>
      </c>
      <c r="V32" s="5" t="str">
        <f>VLOOKUP(E32,'[1]CH DCPT CẤP HÀNG'!$B:$I,8,0)</f>
        <v>GHN</v>
      </c>
      <c r="W32" s="9">
        <f>IF(COUNTIFS($M$2:$M32,M32,$E$2:$E32,E32)=1,1,0)</f>
        <v>0</v>
      </c>
      <c r="X32" s="9">
        <v>136.18063918128649</v>
      </c>
      <c r="Y32" s="9">
        <v>0.74481168539123577</v>
      </c>
      <c r="Z32" s="9" t="str">
        <f>IF(COUNTIF(K$2:K32,K32)=1,SUMIF(K:K,K32,H:H)/SUMIF(K:K,K32,W:W),"")</f>
        <v/>
      </c>
      <c r="AA32" s="9" t="str">
        <f>IF(COUNTIF($M$2:M32,M32)=1, SUMIF(M:M,M32,X:X), "")</f>
        <v/>
      </c>
      <c r="AB32" s="9" t="str">
        <f>IF(COUNTIF($M$2:M32,M32)=1, SUMIF(M:M,M32,Y:Y), "")</f>
        <v/>
      </c>
    </row>
    <row r="33" spans="1:28" x14ac:dyDescent="0.35">
      <c r="A33" s="5">
        <f ca="1">IF(B33="","",COUNTA($B$2:B33))</f>
        <v>32</v>
      </c>
      <c r="B33" s="6">
        <f t="shared" ca="1" si="0"/>
        <v>46193</v>
      </c>
      <c r="C33" s="5" t="s">
        <v>130</v>
      </c>
      <c r="D33" s="5" t="s">
        <v>131</v>
      </c>
      <c r="E33" s="5" t="s">
        <v>128</v>
      </c>
      <c r="F33" s="5" t="s">
        <v>129</v>
      </c>
      <c r="G33" s="5">
        <v>330</v>
      </c>
      <c r="H33" s="7" t="str">
        <f>IF(COUNTIF($M$2:M33,M33)=1,
SUMIFS($G:$G,$M:$M,M33),
"")</f>
        <v/>
      </c>
      <c r="I33" s="7" t="str">
        <f>IF(E33&lt;&gt;E32,SUMIF(E:E,E33,X:X)," ")</f>
        <v xml:space="preserve"> </v>
      </c>
      <c r="J33" s="8" t="str">
        <f>IF(E33&lt;&gt;E32,SUMIF(E:E,E33,Y:Y)," ")</f>
        <v xml:space="preserve"> </v>
      </c>
      <c r="K33" s="5" t="s">
        <v>36</v>
      </c>
      <c r="L33" s="5" t="s">
        <v>123</v>
      </c>
      <c r="O33" s="9" t="str">
        <f>IF(Q33="","",COUNTIFS($M:$M,M33,$W:$W,"1"))</f>
        <v/>
      </c>
      <c r="P33" s="9" t="s">
        <v>28</v>
      </c>
      <c r="R33" s="5" t="s">
        <v>30</v>
      </c>
      <c r="S33" s="5">
        <v>251</v>
      </c>
      <c r="T33" s="9" t="str">
        <f t="shared" si="1"/>
        <v/>
      </c>
      <c r="V33" s="5" t="str">
        <f>VLOOKUP(E33,'[1]CH DCPT CẤP HÀNG'!$B:$I,8,0)</f>
        <v>GHN</v>
      </c>
      <c r="W33" s="9">
        <f>IF(COUNTIFS($M$2:$M33,M33,$E$2:$E33,E33)=1,1,0)</f>
        <v>0</v>
      </c>
      <c r="X33" s="9">
        <v>118.25192727272727</v>
      </c>
      <c r="Y33" s="9">
        <v>0.68221139719726565</v>
      </c>
      <c r="Z33" s="9" t="str">
        <f>IF(COUNTIF(K$2:K33,K33)=1,SUMIF(K:K,K33,H:H)/SUMIF(K:K,K33,W:W),"")</f>
        <v/>
      </c>
      <c r="AA33" s="9" t="str">
        <f>IF(COUNTIF($M$2:M33,M33)=1, SUMIF(M:M,M33,X:X), "")</f>
        <v/>
      </c>
      <c r="AB33" s="9" t="str">
        <f>IF(COUNTIF($M$2:M33,M33)=1, SUMIF(M:M,M33,Y:Y), "")</f>
        <v/>
      </c>
    </row>
    <row r="34" spans="1:28" x14ac:dyDescent="0.35">
      <c r="A34" s="5">
        <f ca="1">IF(B34="","",COUNTA($B$2:B34))</f>
        <v>33</v>
      </c>
      <c r="B34" s="6">
        <f t="shared" ca="1" si="0"/>
        <v>46193</v>
      </c>
      <c r="C34" s="5" t="s">
        <v>132</v>
      </c>
      <c r="D34" s="5" t="s">
        <v>133</v>
      </c>
      <c r="E34" s="5" t="s">
        <v>134</v>
      </c>
      <c r="F34" s="5" t="s">
        <v>135</v>
      </c>
      <c r="G34" s="5">
        <v>136</v>
      </c>
      <c r="H34" s="7" t="str">
        <f>IF(COUNTIF($M$2:M34,M34)=1,
SUMIFS($G:$G,$M:$M,M34),
"")</f>
        <v/>
      </c>
      <c r="I34" s="7">
        <f>IF(E34&lt;&gt;E33,SUMIF(E:E,E34,X:X)," ")</f>
        <v>224.32616985645933</v>
      </c>
      <c r="J34" s="8">
        <f>IF(E34&lt;&gt;E33,SUMIF(E:E,E34,Y:Y)," ")</f>
        <v>1.175732742318224</v>
      </c>
      <c r="K34" s="5" t="s">
        <v>36</v>
      </c>
      <c r="L34" s="5" t="s">
        <v>123</v>
      </c>
      <c r="O34" s="9" t="str">
        <f>IF(Q34="","",COUNTIFS($M:$M,M34,$W:$W,"1"))</f>
        <v/>
      </c>
      <c r="P34" s="9" t="s">
        <v>28</v>
      </c>
      <c r="R34" s="5" t="s">
        <v>30</v>
      </c>
      <c r="S34" s="5">
        <v>252</v>
      </c>
      <c r="T34" s="9" t="str">
        <f t="shared" si="1"/>
        <v/>
      </c>
      <c r="V34" s="5" t="str">
        <f>VLOOKUP(E34,'[1]CH DCPT CẤP HÀNG'!$B:$I,8,0)</f>
        <v>GHN</v>
      </c>
      <c r="W34" s="9">
        <f>IF(COUNTIFS($M$2:$M34,M34,$E$2:$E34,E34)=1,1,0)</f>
        <v>0</v>
      </c>
      <c r="X34" s="9">
        <v>78.317078947368429</v>
      </c>
      <c r="Y34" s="9">
        <v>0.49390700561334216</v>
      </c>
      <c r="Z34" s="9" t="str">
        <f>IF(COUNTIF(K$2:K34,K34)=1,SUMIF(K:K,K34,H:H)/SUMIF(K:K,K34,W:W),"")</f>
        <v/>
      </c>
      <c r="AA34" s="9" t="str">
        <f>IF(COUNTIF($M$2:M34,M34)=1, SUMIF(M:M,M34,X:X), "")</f>
        <v/>
      </c>
      <c r="AB34" s="9" t="str">
        <f>IF(COUNTIF($M$2:M34,M34)=1, SUMIF(M:M,M34,Y:Y), "")</f>
        <v/>
      </c>
    </row>
    <row r="35" spans="1:28" x14ac:dyDescent="0.35">
      <c r="A35" s="5">
        <f ca="1">IF(B35="","",COUNTA($B$2:B35))</f>
        <v>34</v>
      </c>
      <c r="B35" s="6">
        <f t="shared" ca="1" si="0"/>
        <v>46193</v>
      </c>
      <c r="C35" s="5" t="s">
        <v>136</v>
      </c>
      <c r="D35" s="5" t="s">
        <v>137</v>
      </c>
      <c r="E35" s="5" t="s">
        <v>134</v>
      </c>
      <c r="F35" s="5" t="s">
        <v>135</v>
      </c>
      <c r="G35" s="5">
        <v>396</v>
      </c>
      <c r="H35" s="7" t="str">
        <f>IF(COUNTIF($M$2:M35,M35)=1,
SUMIFS($G:$G,$M:$M,M35),
"")</f>
        <v/>
      </c>
      <c r="I35" s="7" t="str">
        <f>IF(E35&lt;&gt;E34,SUMIF(E:E,E35,X:X)," ")</f>
        <v xml:space="preserve"> </v>
      </c>
      <c r="J35" s="8" t="str">
        <f>IF(E35&lt;&gt;E34,SUMIF(E:E,E35,Y:Y)," ")</f>
        <v xml:space="preserve"> </v>
      </c>
      <c r="K35" s="5" t="s">
        <v>36</v>
      </c>
      <c r="L35" s="5" t="s">
        <v>123</v>
      </c>
      <c r="O35" s="9" t="str">
        <f>IF(Q35="","",COUNTIFS($M:$M,M35,$W:$W,"1"))</f>
        <v/>
      </c>
      <c r="P35" s="9" t="s">
        <v>28</v>
      </c>
      <c r="R35" s="5" t="s">
        <v>30</v>
      </c>
      <c r="S35" s="5">
        <v>252</v>
      </c>
      <c r="T35" s="9" t="str">
        <f t="shared" si="1"/>
        <v/>
      </c>
      <c r="V35" s="5" t="str">
        <f>VLOOKUP(E35,'[1]CH DCPT CẤP HÀNG'!$B:$I,8,0)</f>
        <v>GHN</v>
      </c>
      <c r="W35" s="9">
        <f>IF(COUNTIFS($M$2:$M35,M35,$E$2:$E35,E35)=1,1,0)</f>
        <v>0</v>
      </c>
      <c r="X35" s="9">
        <v>146.0090909090909</v>
      </c>
      <c r="Y35" s="9">
        <v>0.68182573670488189</v>
      </c>
      <c r="Z35" s="9" t="str">
        <f>IF(COUNTIF(K$2:K35,K35)=1,SUMIF(K:K,K35,H:H)/SUMIF(K:K,K35,W:W),"")</f>
        <v/>
      </c>
      <c r="AA35" s="9" t="str">
        <f>IF(COUNTIF($M$2:M35,M35)=1, SUMIF(M:M,M35,X:X), "")</f>
        <v/>
      </c>
      <c r="AB35" s="9" t="str">
        <f>IF(COUNTIF($M$2:M35,M35)=1, SUMIF(M:M,M35,Y:Y), "")</f>
        <v/>
      </c>
    </row>
    <row r="36" spans="1:28" x14ac:dyDescent="0.35">
      <c r="A36" s="5">
        <f ca="1">IF(B36="","",COUNTA($B$2:B36))</f>
        <v>35</v>
      </c>
      <c r="B36" s="6">
        <f t="shared" ca="1" si="0"/>
        <v>46193</v>
      </c>
      <c r="C36" s="5" t="s">
        <v>138</v>
      </c>
      <c r="D36" s="5" t="s">
        <v>139</v>
      </c>
      <c r="E36" s="5" t="s">
        <v>140</v>
      </c>
      <c r="F36" s="5" t="s">
        <v>141</v>
      </c>
      <c r="G36" s="5">
        <v>204</v>
      </c>
      <c r="H36" s="7" t="str">
        <f>IF(COUNTIF($M$2:M36,M36)=1,
SUMIFS($G:$G,$M:$M,M36),
"")</f>
        <v/>
      </c>
      <c r="I36" s="7">
        <f>IF(E36&lt;&gt;E35,SUMIF(E:E,E36,X:X)," ")</f>
        <v>369.35040988835721</v>
      </c>
      <c r="J36" s="8">
        <f>IF(E36&lt;&gt;E35,SUMIF(E:E,E36,Y:Y)," ")</f>
        <v>1.756861616179781</v>
      </c>
      <c r="K36" s="5" t="s">
        <v>36</v>
      </c>
      <c r="L36" s="5" t="s">
        <v>123</v>
      </c>
      <c r="O36" s="9" t="str">
        <f>IF(Q36="","",COUNTIFS($M:$M,M36,$W:$W,"1"))</f>
        <v/>
      </c>
      <c r="P36" s="9" t="s">
        <v>28</v>
      </c>
      <c r="R36" s="5" t="s">
        <v>30</v>
      </c>
      <c r="S36" s="5">
        <v>253</v>
      </c>
      <c r="T36" s="9" t="str">
        <f t="shared" si="1"/>
        <v/>
      </c>
      <c r="V36" s="5" t="str">
        <f>VLOOKUP(E36,'[1]CH DCPT CẤP HÀNG'!$B:$I,8,0)</f>
        <v>GHN</v>
      </c>
      <c r="W36" s="9">
        <f>IF(COUNTIFS($M$2:$M36,M36,$E$2:$E36,E36)=1,1,0)</f>
        <v>0</v>
      </c>
      <c r="X36" s="9">
        <v>108.5192280701754</v>
      </c>
      <c r="Y36" s="9">
        <v>0.55416977969309422</v>
      </c>
      <c r="Z36" s="9" t="str">
        <f>IF(COUNTIF(K$2:K36,K36)=1,SUMIF(K:K,K36,H:H)/SUMIF(K:K,K36,W:W),"")</f>
        <v/>
      </c>
      <c r="AA36" s="9" t="str">
        <f>IF(COUNTIF($M$2:M36,M36)=1, SUMIF(M:M,M36,X:X), "")</f>
        <v/>
      </c>
      <c r="AB36" s="9" t="str">
        <f>IF(COUNTIF($M$2:M36,M36)=1, SUMIF(M:M,M36,Y:Y), "")</f>
        <v/>
      </c>
    </row>
    <row r="37" spans="1:28" x14ac:dyDescent="0.35">
      <c r="A37" s="5">
        <f ca="1">IF(B37="","",COUNTA($B$2:B37))</f>
        <v>36</v>
      </c>
      <c r="B37" s="6">
        <f t="shared" ca="1" si="0"/>
        <v>46193</v>
      </c>
      <c r="C37" s="5" t="s">
        <v>142</v>
      </c>
      <c r="D37" s="5" t="s">
        <v>143</v>
      </c>
      <c r="E37" s="5" t="s">
        <v>140</v>
      </c>
      <c r="F37" s="5" t="s">
        <v>141</v>
      </c>
      <c r="G37" s="5">
        <v>666</v>
      </c>
      <c r="H37" s="7" t="str">
        <f>IF(COUNTIF($M$2:M37,M37)=1,
SUMIFS($G:$G,$M:$M,M37),
"")</f>
        <v/>
      </c>
      <c r="I37" s="7" t="str">
        <f>IF(E37&lt;&gt;E36,SUMIF(E:E,E37,X:X)," ")</f>
        <v xml:space="preserve"> </v>
      </c>
      <c r="J37" s="8" t="str">
        <f>IF(E37&lt;&gt;E36,SUMIF(E:E,E37,Y:Y)," ")</f>
        <v xml:space="preserve"> </v>
      </c>
      <c r="K37" s="5" t="s">
        <v>36</v>
      </c>
      <c r="L37" s="5" t="s">
        <v>123</v>
      </c>
      <c r="O37" s="9" t="str">
        <f>IF(Q37="","",COUNTIFS($M:$M,M37,$W:$W,"1"))</f>
        <v/>
      </c>
      <c r="P37" s="9" t="s">
        <v>28</v>
      </c>
      <c r="R37" s="5" t="s">
        <v>30</v>
      </c>
      <c r="S37" s="5">
        <v>253</v>
      </c>
      <c r="T37" s="9" t="str">
        <f t="shared" si="1"/>
        <v/>
      </c>
      <c r="V37" s="5" t="str">
        <f>VLOOKUP(E37,'[1]CH DCPT CẤP HÀNG'!$B:$I,8,0)</f>
        <v>GHN</v>
      </c>
      <c r="W37" s="9">
        <f>IF(COUNTIFS($M$2:$M37,M37,$E$2:$E37,E37)=1,1,0)</f>
        <v>0</v>
      </c>
      <c r="X37" s="9">
        <v>260.83118181818179</v>
      </c>
      <c r="Y37" s="9">
        <v>1.2026918364866868</v>
      </c>
      <c r="Z37" s="9" t="str">
        <f>IF(COUNTIF(K$2:K37,K37)=1,SUMIF(K:K,K37,H:H)/SUMIF(K:K,K37,W:W),"")</f>
        <v/>
      </c>
      <c r="AA37" s="9" t="str">
        <f>IF(COUNTIF($M$2:M37,M37)=1, SUMIF(M:M,M37,X:X), "")</f>
        <v/>
      </c>
      <c r="AB37" s="9" t="str">
        <f>IF(COUNTIF($M$2:M37,M37)=1, SUMIF(M:M,M37,Y:Y), "")</f>
        <v/>
      </c>
    </row>
    <row r="38" spans="1:28" x14ac:dyDescent="0.35">
      <c r="A38" s="5">
        <f ca="1">IF(B38="","",COUNTA($B$2:B38))</f>
        <v>37</v>
      </c>
      <c r="B38" s="6">
        <f t="shared" ca="1" si="0"/>
        <v>46193</v>
      </c>
      <c r="C38" s="5" t="s">
        <v>144</v>
      </c>
      <c r="D38" s="5" t="s">
        <v>145</v>
      </c>
      <c r="E38" s="5" t="s">
        <v>146</v>
      </c>
      <c r="F38" s="5" t="s">
        <v>147</v>
      </c>
      <c r="G38" s="5">
        <v>192</v>
      </c>
      <c r="H38" s="7" t="str">
        <f>IF(COUNTIF($M$2:M38,M38)=1,
SUMIFS($G:$G,$M:$M,M38),
"")</f>
        <v/>
      </c>
      <c r="I38" s="7">
        <f>IF(E38&lt;&gt;E37,SUMIF(E:E,E38,X:X)," ")</f>
        <v>318.40400287081337</v>
      </c>
      <c r="J38" s="8">
        <f>IF(E38&lt;&gt;E37,SUMIF(E:E,E38,Y:Y)," ")</f>
        <v>1.6433884446713782</v>
      </c>
      <c r="K38" s="5" t="s">
        <v>36</v>
      </c>
      <c r="L38" s="5" t="s">
        <v>123</v>
      </c>
      <c r="O38" s="9" t="str">
        <f>IF(Q38="","",COUNTIFS($M:$M,M38,$W:$W,"1"))</f>
        <v/>
      </c>
      <c r="P38" s="9" t="s">
        <v>28</v>
      </c>
      <c r="R38" s="5" t="s">
        <v>30</v>
      </c>
      <c r="S38" s="5">
        <v>254</v>
      </c>
      <c r="T38" s="9" t="str">
        <f t="shared" si="1"/>
        <v/>
      </c>
      <c r="V38" s="5" t="str">
        <f>VLOOKUP(E38,'[1]CH DCPT CẤP HÀNG'!$B:$I,8,0)</f>
        <v>GHN</v>
      </c>
      <c r="W38" s="9">
        <f>IF(COUNTIFS($M$2:$M38,M38,$E$2:$E38,E38)=1,1,0)</f>
        <v>0</v>
      </c>
      <c r="X38" s="9">
        <v>120.35062105263158</v>
      </c>
      <c r="Y38" s="9">
        <v>0.56738938769230762</v>
      </c>
      <c r="Z38" s="9" t="str">
        <f>IF(COUNTIF(K$2:K38,K38)=1,SUMIF(K:K,K38,H:H)/SUMIF(K:K,K38,W:W),"")</f>
        <v/>
      </c>
      <c r="AA38" s="9" t="str">
        <f>IF(COUNTIF($M$2:M38,M38)=1, SUMIF(M:M,M38,X:X), "")</f>
        <v/>
      </c>
      <c r="AB38" s="9" t="str">
        <f>IF(COUNTIF($M$2:M38,M38)=1, SUMIF(M:M,M38,Y:Y), "")</f>
        <v/>
      </c>
    </row>
    <row r="39" spans="1:28" x14ac:dyDescent="0.35">
      <c r="A39" s="5">
        <f ca="1">IF(B39="","",COUNTA($B$2:B39))</f>
        <v>38</v>
      </c>
      <c r="B39" s="6">
        <f t="shared" ca="1" si="0"/>
        <v>46193</v>
      </c>
      <c r="C39" s="5" t="s">
        <v>148</v>
      </c>
      <c r="D39" s="5" t="s">
        <v>149</v>
      </c>
      <c r="E39" s="5" t="s">
        <v>146</v>
      </c>
      <c r="F39" s="5" t="s">
        <v>147</v>
      </c>
      <c r="G39" s="5">
        <v>628</v>
      </c>
      <c r="H39" s="7" t="str">
        <f>IF(COUNTIF($M$2:M39,M39)=1,
SUMIFS($G:$G,$M:$M,M39),
"")</f>
        <v/>
      </c>
      <c r="I39" s="7" t="str">
        <f>IF(E39&lt;&gt;E38,SUMIF(E:E,E39,X:X)," ")</f>
        <v xml:space="preserve"> </v>
      </c>
      <c r="J39" s="8" t="str">
        <f>IF(E39&lt;&gt;E38,SUMIF(E:E,E39,Y:Y)," ")</f>
        <v xml:space="preserve"> </v>
      </c>
      <c r="K39" s="5" t="s">
        <v>36</v>
      </c>
      <c r="L39" s="5" t="s">
        <v>123</v>
      </c>
      <c r="O39" s="9" t="str">
        <f>IF(Q39="","",COUNTIFS($M:$M,M39,$W:$W,"1"))</f>
        <v/>
      </c>
      <c r="P39" s="9" t="s">
        <v>28</v>
      </c>
      <c r="R39" s="5" t="s">
        <v>30</v>
      </c>
      <c r="S39" s="5">
        <v>254</v>
      </c>
      <c r="T39" s="9" t="str">
        <f t="shared" si="1"/>
        <v/>
      </c>
      <c r="V39" s="5" t="str">
        <f>VLOOKUP(E39,'[1]CH DCPT CẤP HÀNG'!$B:$I,8,0)</f>
        <v>GHN</v>
      </c>
      <c r="W39" s="9">
        <f>IF(COUNTIFS($M$2:$M39,M39,$E$2:$E39,E39)=1,1,0)</f>
        <v>0</v>
      </c>
      <c r="X39" s="9">
        <v>198.0533818181818</v>
      </c>
      <c r="Y39" s="9">
        <v>1.0759990569790707</v>
      </c>
      <c r="Z39" s="9" t="str">
        <f>IF(COUNTIF(K$2:K39,K39)=1,SUMIF(K:K,K39,H:H)/SUMIF(K:K,K39,W:W),"")</f>
        <v/>
      </c>
      <c r="AA39" s="9" t="str">
        <f>IF(COUNTIF($M$2:M39,M39)=1, SUMIF(M:M,M39,X:X), "")</f>
        <v/>
      </c>
      <c r="AB39" s="9" t="str">
        <f>IF(COUNTIF($M$2:M39,M39)=1, SUMIF(M:M,M39,Y:Y), "")</f>
        <v/>
      </c>
    </row>
    <row r="40" spans="1:28" x14ac:dyDescent="0.35">
      <c r="A40" s="5">
        <f ca="1">IF(B40="","",COUNTA($B$2:B40))</f>
        <v>39</v>
      </c>
      <c r="B40" s="6">
        <f t="shared" ca="1" si="0"/>
        <v>46193</v>
      </c>
      <c r="C40" s="5" t="s">
        <v>150</v>
      </c>
      <c r="D40" s="5" t="s">
        <v>151</v>
      </c>
      <c r="E40" s="5" t="s">
        <v>152</v>
      </c>
      <c r="F40" s="5" t="s">
        <v>153</v>
      </c>
      <c r="G40" s="5">
        <v>169</v>
      </c>
      <c r="H40" s="7" t="str">
        <f>IF(COUNTIF($M$2:M40,M40)=1,
SUMIFS($G:$G,$M:$M,M40),
"")</f>
        <v/>
      </c>
      <c r="I40" s="7">
        <f>IF(E40&lt;&gt;E39,SUMIF(E:E,E40,X:X)," ")</f>
        <v>254.13021371610847</v>
      </c>
      <c r="J40" s="8">
        <f>IF(E40&lt;&gt;E39,SUMIF(E:E,E40,Y:Y)," ")</f>
        <v>1.1905285792214673</v>
      </c>
      <c r="K40" s="5" t="s">
        <v>36</v>
      </c>
      <c r="L40" s="5" t="s">
        <v>123</v>
      </c>
      <c r="O40" s="9" t="str">
        <f>IF(Q40="","",COUNTIFS($M:$M,M40,$W:$W,"1"))</f>
        <v/>
      </c>
      <c r="P40" s="9" t="s">
        <v>28</v>
      </c>
      <c r="R40" s="5" t="s">
        <v>30</v>
      </c>
      <c r="S40" s="5">
        <v>256</v>
      </c>
      <c r="T40" s="9" t="str">
        <f t="shared" si="1"/>
        <v/>
      </c>
      <c r="V40" s="5" t="str">
        <f>VLOOKUP(E40,'[1]CH DCPT CẤP HÀNG'!$B:$I,8,0)</f>
        <v>GHN</v>
      </c>
      <c r="W40" s="9">
        <f>IF(COUNTIFS($M$2:$M40,M40,$E$2:$E40,E40)=1,1,0)</f>
        <v>0</v>
      </c>
      <c r="X40" s="9">
        <v>145.52112280701755</v>
      </c>
      <c r="Y40" s="9">
        <v>0.66527502583970044</v>
      </c>
      <c r="Z40" s="9" t="str">
        <f>IF(COUNTIF(K$2:K40,K40)=1,SUMIF(K:K,K40,H:H)/SUMIF(K:K,K40,W:W),"")</f>
        <v/>
      </c>
      <c r="AA40" s="9" t="str">
        <f>IF(COUNTIF($M$2:M40,M40)=1, SUMIF(M:M,M40,X:X), "")</f>
        <v/>
      </c>
      <c r="AB40" s="9" t="str">
        <f>IF(COUNTIF($M$2:M40,M40)=1, SUMIF(M:M,M40,Y:Y), "")</f>
        <v/>
      </c>
    </row>
    <row r="41" spans="1:28" x14ac:dyDescent="0.35">
      <c r="A41" s="5">
        <f ca="1">IF(B41="","",COUNTA($B$2:B41))</f>
        <v>40</v>
      </c>
      <c r="B41" s="6">
        <f t="shared" ca="1" si="0"/>
        <v>46193</v>
      </c>
      <c r="C41" s="5" t="s">
        <v>154</v>
      </c>
      <c r="D41" s="5" t="s">
        <v>155</v>
      </c>
      <c r="E41" s="5" t="s">
        <v>152</v>
      </c>
      <c r="F41" s="5" t="s">
        <v>153</v>
      </c>
      <c r="G41" s="5">
        <v>200</v>
      </c>
      <c r="H41" s="7" t="str">
        <f>IF(COUNTIF($M$2:M41,M41)=1,
SUMIFS($G:$G,$M:$M,M41),
"")</f>
        <v/>
      </c>
      <c r="I41" s="7" t="str">
        <f>IF(E41&lt;&gt;E40,SUMIF(E:E,E41,X:X)," ")</f>
        <v xml:space="preserve"> </v>
      </c>
      <c r="J41" s="8" t="str">
        <f>IF(E41&lt;&gt;E40,SUMIF(E:E,E41,Y:Y)," ")</f>
        <v xml:space="preserve"> </v>
      </c>
      <c r="K41" s="5" t="s">
        <v>36</v>
      </c>
      <c r="L41" s="5" t="s">
        <v>123</v>
      </c>
      <c r="O41" s="9" t="str">
        <f>IF(Q41="","",COUNTIFS($M:$M,M41,$W:$W,"1"))</f>
        <v/>
      </c>
      <c r="P41" s="9" t="s">
        <v>28</v>
      </c>
      <c r="R41" s="5" t="s">
        <v>30</v>
      </c>
      <c r="S41" s="5">
        <v>256</v>
      </c>
      <c r="T41" s="9" t="str">
        <f t="shared" si="1"/>
        <v/>
      </c>
      <c r="V41" s="5" t="str">
        <f>VLOOKUP(E41,'[1]CH DCPT CẤP HÀNG'!$B:$I,8,0)</f>
        <v>GHN</v>
      </c>
      <c r="W41" s="9">
        <f>IF(COUNTIFS($M$2:$M41,M41,$E$2:$E41,E41)=1,1,0)</f>
        <v>0</v>
      </c>
      <c r="X41" s="9">
        <v>108.60909090909091</v>
      </c>
      <c r="Y41" s="9">
        <v>0.52525355338176682</v>
      </c>
      <c r="Z41" s="9" t="str">
        <f>IF(COUNTIF(K$2:K41,K41)=1,SUMIF(K:K,K41,H:H)/SUMIF(K:K,K41,W:W),"")</f>
        <v/>
      </c>
      <c r="AA41" s="9" t="str">
        <f>IF(COUNTIF($M$2:M41,M41)=1, SUMIF(M:M,M41,X:X), "")</f>
        <v/>
      </c>
      <c r="AB41" s="9" t="str">
        <f>IF(COUNTIF($M$2:M41,M41)=1, SUMIF(M:M,M41,Y:Y), "")</f>
        <v/>
      </c>
    </row>
    <row r="42" spans="1:28" x14ac:dyDescent="0.35">
      <c r="A42" s="5">
        <f ca="1">IF(B42="","",COUNTA($B$2:B42))</f>
        <v>41</v>
      </c>
      <c r="B42" s="6">
        <f t="shared" ca="1" si="0"/>
        <v>46193</v>
      </c>
      <c r="C42" s="5" t="s">
        <v>156</v>
      </c>
      <c r="D42" s="5" t="s">
        <v>157</v>
      </c>
      <c r="E42" s="5" t="s">
        <v>158</v>
      </c>
      <c r="F42" s="5" t="s">
        <v>159</v>
      </c>
      <c r="G42" s="5">
        <v>72</v>
      </c>
      <c r="H42" s="7" t="str">
        <f>IF(COUNTIF($M$2:M42,M42)=1,
SUMIFS($G:$G,$M:$M,M42),
"")</f>
        <v/>
      </c>
      <c r="I42" s="7">
        <f>IF(E42&lt;&gt;E41,SUMIF(E:E,E42,X:X)," ")</f>
        <v>259.84125816055291</v>
      </c>
      <c r="J42" s="8">
        <f>IF(E42&lt;&gt;E41,SUMIF(E:E,E42,Y:Y)," ")</f>
        <v>1.0764729180871413</v>
      </c>
      <c r="K42" s="5" t="s">
        <v>36</v>
      </c>
      <c r="L42" s="5" t="s">
        <v>160</v>
      </c>
      <c r="O42" s="9" t="str">
        <f>IF(Q42="","",COUNTIFS($M:$M,M42,$W:$W,"1"))</f>
        <v/>
      </c>
      <c r="P42" s="9" t="s">
        <v>28</v>
      </c>
      <c r="R42" s="5" t="s">
        <v>30</v>
      </c>
      <c r="S42" s="5">
        <v>257</v>
      </c>
      <c r="T42" s="9" t="str">
        <f t="shared" si="1"/>
        <v/>
      </c>
      <c r="V42" s="5" t="str">
        <f>VLOOKUP(E42,'[1]CH DCPT CẤP HÀNG'!$B:$I,8,0)</f>
        <v>GHN</v>
      </c>
      <c r="W42" s="9">
        <f>IF(COUNTIFS($M$2:$M42,M42,$E$2:$E42,E42)=1,1,0)</f>
        <v>0</v>
      </c>
      <c r="X42" s="9">
        <v>80.527789473684237</v>
      </c>
      <c r="Y42" s="9">
        <v>0.3228962496153846</v>
      </c>
      <c r="Z42" s="9" t="str">
        <f>IF(COUNTIF(K$2:K42,K42)=1,SUMIF(K:K,K42,H:H)/SUMIF(K:K,K42,W:W),"")</f>
        <v/>
      </c>
      <c r="AA42" s="9" t="str">
        <f>IF(COUNTIF($M$2:M42,M42)=1, SUMIF(M:M,M42,X:X), "")</f>
        <v/>
      </c>
      <c r="AB42" s="9" t="str">
        <f>IF(COUNTIF($M$2:M42,M42)=1, SUMIF(M:M,M42,Y:Y), "")</f>
        <v/>
      </c>
    </row>
    <row r="43" spans="1:28" x14ac:dyDescent="0.35">
      <c r="A43" s="5">
        <f ca="1">IF(B43="","",COUNTA($B$2:B43))</f>
        <v>42</v>
      </c>
      <c r="B43" s="6">
        <f t="shared" ca="1" si="0"/>
        <v>46193</v>
      </c>
      <c r="C43" s="5" t="s">
        <v>161</v>
      </c>
      <c r="D43" s="5" t="s">
        <v>162</v>
      </c>
      <c r="E43" s="5" t="s">
        <v>158</v>
      </c>
      <c r="F43" s="5" t="s">
        <v>159</v>
      </c>
      <c r="G43" s="5">
        <v>99</v>
      </c>
      <c r="H43" s="7" t="str">
        <f>IF(COUNTIF($M$2:M43,M43)=1,
SUMIFS($G:$G,$M:$M,M43),
"")</f>
        <v/>
      </c>
      <c r="I43" s="7" t="str">
        <f>IF(E43&lt;&gt;E42,SUMIF(E:E,E43,X:X)," ")</f>
        <v xml:space="preserve"> </v>
      </c>
      <c r="J43" s="8" t="str">
        <f>IF(E43&lt;&gt;E42,SUMIF(E:E,E43,Y:Y)," ")</f>
        <v xml:space="preserve"> </v>
      </c>
      <c r="K43" s="5" t="s">
        <v>36</v>
      </c>
      <c r="L43" s="5" t="s">
        <v>160</v>
      </c>
      <c r="O43" s="9" t="str">
        <f>IF(Q43="","",COUNTIFS($M:$M,M43,$W:$W,"1"))</f>
        <v/>
      </c>
      <c r="P43" s="9" t="s">
        <v>28</v>
      </c>
      <c r="R43" s="5" t="s">
        <v>30</v>
      </c>
      <c r="S43" s="5">
        <v>257</v>
      </c>
      <c r="T43" s="9" t="str">
        <f t="shared" si="1"/>
        <v/>
      </c>
      <c r="V43" s="5" t="str">
        <f>VLOOKUP(E43,'[1]CH DCPT CẤP HÀNG'!$B:$I,8,0)</f>
        <v>GHN</v>
      </c>
      <c r="W43" s="9">
        <f>IF(COUNTIFS($M$2:$M43,M43,$E$2:$E43,E43)=1,1,0)</f>
        <v>0</v>
      </c>
      <c r="X43" s="9">
        <v>83.806577777777804</v>
      </c>
      <c r="Y43" s="9">
        <v>0.29078947948717948</v>
      </c>
      <c r="Z43" s="9" t="str">
        <f>IF(COUNTIF(K$2:K43,K43)=1,SUMIF(K:K,K43,H:H)/SUMIF(K:K,K43,W:W),"")</f>
        <v/>
      </c>
      <c r="AA43" s="9" t="str">
        <f>IF(COUNTIF($M$2:M43,M43)=1, SUMIF(M:M,M43,X:X), "")</f>
        <v/>
      </c>
      <c r="AB43" s="9" t="str">
        <f>IF(COUNTIF($M$2:M43,M43)=1, SUMIF(M:M,M43,Y:Y), "")</f>
        <v/>
      </c>
    </row>
    <row r="44" spans="1:28" x14ac:dyDescent="0.35">
      <c r="A44" s="5">
        <f ca="1">IF(B44="","",COUNTA($B$2:B44))</f>
        <v>43</v>
      </c>
      <c r="B44" s="6">
        <f t="shared" ca="1" si="0"/>
        <v>46193</v>
      </c>
      <c r="C44" s="5" t="s">
        <v>163</v>
      </c>
      <c r="D44" s="5" t="s">
        <v>164</v>
      </c>
      <c r="E44" s="5" t="s">
        <v>158</v>
      </c>
      <c r="F44" s="5" t="s">
        <v>159</v>
      </c>
      <c r="G44" s="5">
        <v>30</v>
      </c>
      <c r="H44" s="7" t="str">
        <f>IF(COUNTIF($M$2:M44,M44)=1,
SUMIFS($G:$G,$M:$M,M44),
"")</f>
        <v/>
      </c>
      <c r="I44" s="7" t="str">
        <f>IF(E44&lt;&gt;E43,SUMIF(E:E,E44,X:X)," ")</f>
        <v xml:space="preserve"> </v>
      </c>
      <c r="J44" s="8" t="str">
        <f>IF(E44&lt;&gt;E43,SUMIF(E:E,E44,Y:Y)," ")</f>
        <v xml:space="preserve"> </v>
      </c>
      <c r="K44" s="5" t="s">
        <v>36</v>
      </c>
      <c r="L44" s="5" t="s">
        <v>160</v>
      </c>
      <c r="O44" s="9" t="str">
        <f>IF(Q44="","",COUNTIFS($M:$M,M44,$W:$W,"1"))</f>
        <v/>
      </c>
      <c r="P44" s="9" t="s">
        <v>28</v>
      </c>
      <c r="R44" s="5" t="s">
        <v>30</v>
      </c>
      <c r="S44" s="5">
        <v>257</v>
      </c>
      <c r="T44" s="9" t="str">
        <f t="shared" si="1"/>
        <v/>
      </c>
      <c r="V44" s="5" t="str">
        <f>VLOOKUP(E44,'[1]CH DCPT CẤP HÀNG'!$B:$I,8,0)</f>
        <v>GHN</v>
      </c>
      <c r="W44" s="9">
        <f>IF(COUNTIFS($M$2:$M44,M44,$E$2:$E44,E44)=1,1,0)</f>
        <v>0</v>
      </c>
      <c r="X44" s="9">
        <v>2.1450000000000005</v>
      </c>
      <c r="Y44" s="9">
        <v>9.1384615384615397E-3</v>
      </c>
      <c r="Z44" s="9" t="str">
        <f>IF(COUNTIF(K$2:K44,K44)=1,SUMIF(K:K,K44,H:H)/SUMIF(K:K,K44,W:W),"")</f>
        <v/>
      </c>
      <c r="AA44" s="9" t="str">
        <f>IF(COUNTIF($M$2:M44,M44)=1, SUMIF(M:M,M44,X:X), "")</f>
        <v/>
      </c>
      <c r="AB44" s="9" t="str">
        <f>IF(COUNTIF($M$2:M44,M44)=1, SUMIF(M:M,M44,Y:Y), "")</f>
        <v/>
      </c>
    </row>
    <row r="45" spans="1:28" x14ac:dyDescent="0.35">
      <c r="A45" s="5">
        <f ca="1">IF(B45="","",COUNTA($B$2:B45))</f>
        <v>44</v>
      </c>
      <c r="B45" s="6">
        <f t="shared" ca="1" si="0"/>
        <v>46193</v>
      </c>
      <c r="C45" s="5" t="s">
        <v>165</v>
      </c>
      <c r="D45" s="5" t="s">
        <v>166</v>
      </c>
      <c r="E45" s="5" t="s">
        <v>158</v>
      </c>
      <c r="F45" s="5" t="s">
        <v>159</v>
      </c>
      <c r="G45" s="5">
        <v>180</v>
      </c>
      <c r="H45" s="7" t="str">
        <f>IF(COUNTIF($M$2:M45,M45)=1,
SUMIFS($G:$G,$M:$M,M45),
"")</f>
        <v/>
      </c>
      <c r="I45" s="7" t="str">
        <f>IF(E45&lt;&gt;E44,SUMIF(E:E,E45,X:X)," ")</f>
        <v xml:space="preserve"> </v>
      </c>
      <c r="J45" s="8" t="str">
        <f>IF(E45&lt;&gt;E44,SUMIF(E:E,E45,Y:Y)," ")</f>
        <v xml:space="preserve"> </v>
      </c>
      <c r="K45" s="5" t="s">
        <v>36</v>
      </c>
      <c r="L45" s="5" t="s">
        <v>160</v>
      </c>
      <c r="O45" s="9" t="str">
        <f>IF(Q45="","",COUNTIFS($M:$M,M45,$W:$W,"1"))</f>
        <v/>
      </c>
      <c r="P45" s="9" t="s">
        <v>28</v>
      </c>
      <c r="R45" s="5" t="s">
        <v>30</v>
      </c>
      <c r="S45" s="5">
        <v>257</v>
      </c>
      <c r="T45" s="9" t="str">
        <f t="shared" si="1"/>
        <v/>
      </c>
      <c r="V45" s="5" t="str">
        <f>VLOOKUP(E45,'[1]CH DCPT CẤP HÀNG'!$B:$I,8,0)</f>
        <v>GHN</v>
      </c>
      <c r="W45" s="9">
        <f>IF(COUNTIFS($M$2:$M45,M45,$E$2:$E45,E45)=1,1,0)</f>
        <v>0</v>
      </c>
      <c r="X45" s="9">
        <v>93.361890909090903</v>
      </c>
      <c r="Y45" s="9">
        <v>0.45364872744611573</v>
      </c>
      <c r="Z45" s="9" t="str">
        <f>IF(COUNTIF(K$2:K45,K45)=1,SUMIF(K:K,K45,H:H)/SUMIF(K:K,K45,W:W),"")</f>
        <v/>
      </c>
      <c r="AA45" s="9" t="str">
        <f>IF(COUNTIF($M$2:M45,M45)=1, SUMIF(M:M,M45,X:X), "")</f>
        <v/>
      </c>
      <c r="AB45" s="9" t="str">
        <f>IF(COUNTIF($M$2:M45,M45)=1, SUMIF(M:M,M45,Y:Y), "")</f>
        <v/>
      </c>
    </row>
    <row r="46" spans="1:28" x14ac:dyDescent="0.35">
      <c r="A46" s="5">
        <f ca="1">IF(B46="","",COUNTA($B$2:B46))</f>
        <v>45</v>
      </c>
      <c r="B46" s="6">
        <f t="shared" ca="1" si="0"/>
        <v>46193</v>
      </c>
      <c r="C46" s="5" t="s">
        <v>167</v>
      </c>
      <c r="D46" s="5" t="s">
        <v>168</v>
      </c>
      <c r="E46" s="5" t="s">
        <v>169</v>
      </c>
      <c r="F46" s="5" t="s">
        <v>170</v>
      </c>
      <c r="G46" s="5">
        <v>194</v>
      </c>
      <c r="H46" s="7" t="str">
        <f>IF(COUNTIF($M$2:M46,M46)=1,
SUMIFS($G:$G,$M:$M,M46),
"")</f>
        <v/>
      </c>
      <c r="I46" s="7">
        <f>IF(E46&lt;&gt;E45,SUMIF(E:E,E46,X:X)," ")</f>
        <v>343.98399534290274</v>
      </c>
      <c r="J46" s="8">
        <f>IF(E46&lt;&gt;E45,SUMIF(E:E,E46,Y:Y)," ")</f>
        <v>1.671989501915172</v>
      </c>
      <c r="K46" s="5" t="s">
        <v>36</v>
      </c>
      <c r="L46" s="5" t="s">
        <v>160</v>
      </c>
      <c r="O46" s="9" t="str">
        <f>IF(Q46="","",COUNTIFS($M:$M,M46,$W:$W,"1"))</f>
        <v/>
      </c>
      <c r="P46" s="9" t="s">
        <v>28</v>
      </c>
      <c r="R46" s="5" t="s">
        <v>30</v>
      </c>
      <c r="S46" s="5">
        <v>258</v>
      </c>
      <c r="T46" s="9" t="str">
        <f t="shared" si="1"/>
        <v/>
      </c>
      <c r="V46" s="5" t="str">
        <f>VLOOKUP(E46,'[1]CH DCPT CẤP HÀNG'!$B:$I,8,0)</f>
        <v>GHN</v>
      </c>
      <c r="W46" s="9">
        <f>IF(COUNTIFS($M$2:$M46,M46,$E$2:$E46,E46)=1,1,0)</f>
        <v>0</v>
      </c>
      <c r="X46" s="9">
        <v>182.40004000000002</v>
      </c>
      <c r="Y46" s="9">
        <v>0.63923084858152524</v>
      </c>
      <c r="Z46" s="9" t="str">
        <f>IF(COUNTIF(K$2:K46,K46)=1,SUMIF(K:K,K46,H:H)/SUMIF(K:K,K46,W:W),"")</f>
        <v/>
      </c>
      <c r="AA46" s="9" t="str">
        <f>IF(COUNTIF($M$2:M46,M46)=1, SUMIF(M:M,M46,X:X), "")</f>
        <v/>
      </c>
      <c r="AB46" s="9" t="str">
        <f>IF(COUNTIF($M$2:M46,M46)=1, SUMIF(M:M,M46,Y:Y), "")</f>
        <v/>
      </c>
    </row>
    <row r="47" spans="1:28" x14ac:dyDescent="0.35">
      <c r="A47" s="5">
        <f ca="1">IF(B47="","",COUNTA($B$2:B47))</f>
        <v>46</v>
      </c>
      <c r="B47" s="6">
        <f t="shared" ref="B47:B79" ca="1" si="2">TODAY()+1</f>
        <v>46193</v>
      </c>
      <c r="C47" s="5" t="s">
        <v>171</v>
      </c>
      <c r="D47" s="5" t="s">
        <v>172</v>
      </c>
      <c r="E47" s="5" t="s">
        <v>169</v>
      </c>
      <c r="F47" s="5" t="s">
        <v>170</v>
      </c>
      <c r="G47" s="5">
        <v>117</v>
      </c>
      <c r="H47" s="7" t="str">
        <f>IF(COUNTIF($M$2:M47,M47)=1,
SUMIFS($G:$G,$M:$M,M47),
"")</f>
        <v/>
      </c>
      <c r="I47" s="7" t="str">
        <f>IF(E47&lt;&gt;E46,SUMIF(E:E,E47,X:X)," ")</f>
        <v xml:space="preserve"> </v>
      </c>
      <c r="J47" s="8" t="str">
        <f>IF(E47&lt;&gt;E46,SUMIF(E:E,E47,Y:Y)," ")</f>
        <v xml:space="preserve"> </v>
      </c>
      <c r="K47" s="5" t="s">
        <v>36</v>
      </c>
      <c r="L47" s="5" t="s">
        <v>160</v>
      </c>
      <c r="O47" s="9" t="str">
        <f>IF(Q47="","",COUNTIFS($M:$M,M47,$W:$W,"1"))</f>
        <v/>
      </c>
      <c r="P47" s="9" t="s">
        <v>28</v>
      </c>
      <c r="R47" s="5" t="s">
        <v>30</v>
      </c>
      <c r="S47" s="5">
        <v>258</v>
      </c>
      <c r="T47" s="9" t="str">
        <f t="shared" ref="T47:T79" si="3">IF(OR(Q47="", M47="", N47=""), "", "LOT SAU KHOẢNG " &amp; TEXT(IF(Q47=5, N47+TIME(2,0,0), IF(OR(Q47=7, Q47=8), N47+TIME(2,48,0), IF(Q47=10, N47+TIME(3,48,0), N47))), "hh:mm"))</f>
        <v/>
      </c>
      <c r="V47" s="5" t="str">
        <f>VLOOKUP(E47,'[1]CH DCPT CẤP HÀNG'!$B:$I,8,0)</f>
        <v>GHN</v>
      </c>
      <c r="W47" s="9">
        <f>IF(COUNTIFS($M$2:$M47,M47,$E$2:$E47,E47)=1,1,0)</f>
        <v>0</v>
      </c>
      <c r="X47" s="9">
        <v>93.41122807017544</v>
      </c>
      <c r="Y47" s="9">
        <v>0.49356391330564986</v>
      </c>
      <c r="Z47" s="9" t="str">
        <f>IF(COUNTIF(K$2:K47,K47)=1,SUMIF(K:K,K47,H:H)/SUMIF(K:K,K47,W:W),"")</f>
        <v/>
      </c>
      <c r="AA47" s="9" t="str">
        <f>IF(COUNTIF($M$2:M47,M47)=1, SUMIF(M:M,M47,X:X), "")</f>
        <v/>
      </c>
      <c r="AB47" s="9" t="str">
        <f>IF(COUNTIF($M$2:M47,M47)=1, SUMIF(M:M,M47,Y:Y), "")</f>
        <v/>
      </c>
    </row>
    <row r="48" spans="1:28" x14ac:dyDescent="0.35">
      <c r="A48" s="5">
        <f ca="1">IF(B48="","",COUNTA($B$2:B48))</f>
        <v>47</v>
      </c>
      <c r="B48" s="6">
        <f t="shared" ca="1" si="2"/>
        <v>46193</v>
      </c>
      <c r="C48" s="5" t="s">
        <v>173</v>
      </c>
      <c r="D48" s="5" t="s">
        <v>174</v>
      </c>
      <c r="E48" s="5" t="s">
        <v>169</v>
      </c>
      <c r="F48" s="5" t="s">
        <v>170</v>
      </c>
      <c r="G48" s="5">
        <v>286</v>
      </c>
      <c r="H48" s="7" t="str">
        <f>IF(COUNTIF($M$2:M48,M48)=1,
SUMIFS($G:$G,$M:$M,M48),
"")</f>
        <v/>
      </c>
      <c r="I48" s="7" t="str">
        <f>IF(E48&lt;&gt;E47,SUMIF(E:E,E48,X:X)," ")</f>
        <v xml:space="preserve"> </v>
      </c>
      <c r="J48" s="8" t="str">
        <f>IF(E48&lt;&gt;E47,SUMIF(E:E,E48,Y:Y)," ")</f>
        <v xml:space="preserve"> </v>
      </c>
      <c r="K48" s="5" t="s">
        <v>36</v>
      </c>
      <c r="L48" s="5" t="s">
        <v>160</v>
      </c>
      <c r="O48" s="9" t="str">
        <f>IF(Q48="","",COUNTIFS($M:$M,M48,$W:$W,"1"))</f>
        <v/>
      </c>
      <c r="P48" s="9" t="s">
        <v>28</v>
      </c>
      <c r="R48" s="5" t="s">
        <v>30</v>
      </c>
      <c r="S48" s="5">
        <v>258</v>
      </c>
      <c r="T48" s="9" t="str">
        <f t="shared" si="3"/>
        <v/>
      </c>
      <c r="V48" s="5" t="str">
        <f>VLOOKUP(E48,'[1]CH DCPT CẤP HÀNG'!$B:$I,8,0)</f>
        <v>GHN</v>
      </c>
      <c r="W48" s="9">
        <f>IF(COUNTIFS($M$2:$M48,M48,$E$2:$E48,E48)=1,1,0)</f>
        <v>0</v>
      </c>
      <c r="X48" s="9">
        <v>68.172727272727272</v>
      </c>
      <c r="Y48" s="9">
        <v>0.53919474002799683</v>
      </c>
      <c r="Z48" s="9" t="str">
        <f>IF(COUNTIF(K$2:K48,K48)=1,SUMIF(K:K,K48,H:H)/SUMIF(K:K,K48,W:W),"")</f>
        <v/>
      </c>
      <c r="AA48" s="9" t="str">
        <f>IF(COUNTIF($M$2:M48,M48)=1, SUMIF(M:M,M48,X:X), "")</f>
        <v/>
      </c>
      <c r="AB48" s="9" t="str">
        <f>IF(COUNTIF($M$2:M48,M48)=1, SUMIF(M:M,M48,Y:Y), "")</f>
        <v/>
      </c>
    </row>
    <row r="49" spans="1:28" x14ac:dyDescent="0.35">
      <c r="A49" s="5">
        <f ca="1">IF(B49="","",COUNTA($B$2:B49))</f>
        <v>48</v>
      </c>
      <c r="B49" s="6">
        <f t="shared" ca="1" si="2"/>
        <v>46193</v>
      </c>
      <c r="C49" s="5" t="s">
        <v>175</v>
      </c>
      <c r="D49" s="5" t="s">
        <v>176</v>
      </c>
      <c r="E49" s="5" t="s">
        <v>177</v>
      </c>
      <c r="F49" s="5" t="s">
        <v>178</v>
      </c>
      <c r="G49" s="5">
        <v>187</v>
      </c>
      <c r="H49" s="7" t="str">
        <f>IF(COUNTIF($M$2:M49,M49)=1,
SUMIFS($G:$G,$M:$M,M49),
"")</f>
        <v/>
      </c>
      <c r="I49" s="7">
        <f>IF(E49&lt;&gt;E48,SUMIF(E:E,E49,X:X)," ")</f>
        <v>316.99455183413079</v>
      </c>
      <c r="J49" s="8">
        <f>IF(E49&lt;&gt;E48,SUMIF(E:E,E49,Y:Y)," ")</f>
        <v>1.5027100872998034</v>
      </c>
      <c r="K49" s="5" t="s">
        <v>36</v>
      </c>
      <c r="L49" s="5" t="s">
        <v>160</v>
      </c>
      <c r="O49" s="9" t="str">
        <f>IF(Q49="","",COUNTIFS($M:$M,M49,$W:$W,"1"))</f>
        <v/>
      </c>
      <c r="P49" s="9" t="s">
        <v>28</v>
      </c>
      <c r="R49" s="5" t="s">
        <v>30</v>
      </c>
      <c r="S49" s="5">
        <v>259</v>
      </c>
      <c r="T49" s="9" t="str">
        <f t="shared" si="3"/>
        <v/>
      </c>
      <c r="V49" s="5" t="str">
        <f>VLOOKUP(E49,'[1]CH DCPT CẤP HÀNG'!$B:$I,8,0)</f>
        <v>GHN</v>
      </c>
      <c r="W49" s="9">
        <f>IF(COUNTIFS($M$2:$M49,M49,$E$2:$E49,E49)=1,1,0)</f>
        <v>0</v>
      </c>
      <c r="X49" s="9">
        <v>177.20582456140349</v>
      </c>
      <c r="Y49" s="9">
        <v>0.74309661317946074</v>
      </c>
      <c r="Z49" s="9" t="str">
        <f>IF(COUNTIF(K$2:K49,K49)=1,SUMIF(K:K,K49,H:H)/SUMIF(K:K,K49,W:W),"")</f>
        <v/>
      </c>
      <c r="AA49" s="9" t="str">
        <f>IF(COUNTIF($M$2:M49,M49)=1, SUMIF(M:M,M49,X:X), "")</f>
        <v/>
      </c>
      <c r="AB49" s="9" t="str">
        <f>IF(COUNTIF($M$2:M49,M49)=1, SUMIF(M:M,M49,Y:Y), "")</f>
        <v/>
      </c>
    </row>
    <row r="50" spans="1:28" x14ac:dyDescent="0.35">
      <c r="A50" s="5">
        <f ca="1">IF(B50="","",COUNTA($B$2:B50))</f>
        <v>49</v>
      </c>
      <c r="B50" s="6">
        <f t="shared" ca="1" si="2"/>
        <v>46193</v>
      </c>
      <c r="C50" s="5" t="s">
        <v>179</v>
      </c>
      <c r="D50" s="5" t="s">
        <v>180</v>
      </c>
      <c r="E50" s="5" t="s">
        <v>177</v>
      </c>
      <c r="F50" s="5" t="s">
        <v>178</v>
      </c>
      <c r="G50" s="5">
        <v>402</v>
      </c>
      <c r="H50" s="7" t="str">
        <f>IF(COUNTIF($M$2:M50,M50)=1,
SUMIFS($G:$G,$M:$M,M50),
"")</f>
        <v/>
      </c>
      <c r="I50" s="7" t="str">
        <f>IF(E50&lt;&gt;E49,SUMIF(E:E,E50,X:X)," ")</f>
        <v xml:space="preserve"> </v>
      </c>
      <c r="J50" s="8" t="str">
        <f>IF(E50&lt;&gt;E49,SUMIF(E:E,E50,Y:Y)," ")</f>
        <v xml:space="preserve"> </v>
      </c>
      <c r="K50" s="5" t="s">
        <v>36</v>
      </c>
      <c r="L50" s="5" t="s">
        <v>160</v>
      </c>
      <c r="O50" s="9" t="str">
        <f>IF(Q50="","",COUNTIFS($M:$M,M50,$W:$W,"1"))</f>
        <v/>
      </c>
      <c r="P50" s="9" t="s">
        <v>28</v>
      </c>
      <c r="R50" s="5" t="s">
        <v>30</v>
      </c>
      <c r="S50" s="5">
        <v>259</v>
      </c>
      <c r="T50" s="9" t="str">
        <f t="shared" si="3"/>
        <v/>
      </c>
      <c r="V50" s="5" t="str">
        <f>VLOOKUP(E50,'[1]CH DCPT CẤP HÀNG'!$B:$I,8,0)</f>
        <v>GHN</v>
      </c>
      <c r="W50" s="9">
        <f>IF(COUNTIFS($M$2:$M50,M50,$E$2:$E50,E50)=1,1,0)</f>
        <v>0</v>
      </c>
      <c r="X50" s="9">
        <v>139.78872727272727</v>
      </c>
      <c r="Y50" s="9">
        <v>0.75961347412034264</v>
      </c>
      <c r="Z50" s="9" t="str">
        <f>IF(COUNTIF(K$2:K50,K50)=1,SUMIF(K:K,K50,H:H)/SUMIF(K:K,K50,W:W),"")</f>
        <v/>
      </c>
      <c r="AA50" s="9" t="str">
        <f>IF(COUNTIF($M$2:M50,M50)=1, SUMIF(M:M,M50,X:X), "")</f>
        <v/>
      </c>
      <c r="AB50" s="9" t="str">
        <f>IF(COUNTIF($M$2:M50,M50)=1, SUMIF(M:M,M50,Y:Y), "")</f>
        <v/>
      </c>
    </row>
    <row r="51" spans="1:28" x14ac:dyDescent="0.35">
      <c r="A51" s="5">
        <f ca="1">IF(B51="","",COUNTA($B$2:B51))</f>
        <v>50</v>
      </c>
      <c r="B51" s="6">
        <f t="shared" ca="1" si="2"/>
        <v>46193</v>
      </c>
      <c r="C51" s="5" t="s">
        <v>181</v>
      </c>
      <c r="D51" s="5" t="s">
        <v>182</v>
      </c>
      <c r="E51" s="5" t="s">
        <v>183</v>
      </c>
      <c r="F51" s="5" t="s">
        <v>184</v>
      </c>
      <c r="G51" s="5">
        <v>292</v>
      </c>
      <c r="H51" s="7" t="str">
        <f>IF(COUNTIF($M$2:M51,M51)=1,
SUMIFS($G:$G,$M:$M,M51),
"")</f>
        <v/>
      </c>
      <c r="I51" s="7">
        <f>IF(E51&lt;&gt;E50,SUMIF(E:E,E51,X:X)," ")</f>
        <v>339.74210462519932</v>
      </c>
      <c r="J51" s="8">
        <f>IF(E51&lt;&gt;E50,SUMIF(E:E,E51,Y:Y)," ")</f>
        <v>1.8156700989471459</v>
      </c>
      <c r="K51" s="5" t="s">
        <v>36</v>
      </c>
      <c r="L51" s="5" t="s">
        <v>160</v>
      </c>
      <c r="O51" s="9" t="str">
        <f>IF(Q51="","",COUNTIFS($M:$M,M51,$W:$W,"1"))</f>
        <v/>
      </c>
      <c r="P51" s="9" t="s">
        <v>28</v>
      </c>
      <c r="R51" s="5" t="s">
        <v>30</v>
      </c>
      <c r="S51" s="5">
        <v>260</v>
      </c>
      <c r="T51" s="9" t="str">
        <f t="shared" si="3"/>
        <v/>
      </c>
      <c r="V51" s="5" t="str">
        <f>VLOOKUP(E51,'[1]CH DCPT CẤP HÀNG'!$B:$I,8,0)</f>
        <v>GHN</v>
      </c>
      <c r="W51" s="9">
        <f>IF(COUNTIFS($M$2:$M51,M51,$E$2:$E51,E51)=1,1,0)</f>
        <v>0</v>
      </c>
      <c r="X51" s="9">
        <v>168.10792280701753</v>
      </c>
      <c r="Y51" s="9">
        <v>0.89717280787572939</v>
      </c>
      <c r="Z51" s="9" t="str">
        <f>IF(COUNTIF(K$2:K51,K51)=1,SUMIF(K:K,K51,H:H)/SUMIF(K:K,K51,W:W),"")</f>
        <v/>
      </c>
      <c r="AA51" s="9" t="str">
        <f>IF(COUNTIF($M$2:M51,M51)=1, SUMIF(M:M,M51,X:X), "")</f>
        <v/>
      </c>
      <c r="AB51" s="9" t="str">
        <f>IF(COUNTIF($M$2:M51,M51)=1, SUMIF(M:M,M51,Y:Y), "")</f>
        <v/>
      </c>
    </row>
    <row r="52" spans="1:28" x14ac:dyDescent="0.35">
      <c r="A52" s="5">
        <f ca="1">IF(B52="","",COUNTA($B$2:B52))</f>
        <v>51</v>
      </c>
      <c r="B52" s="6">
        <f t="shared" ca="1" si="2"/>
        <v>46193</v>
      </c>
      <c r="C52" s="5" t="s">
        <v>185</v>
      </c>
      <c r="D52" s="5" t="s">
        <v>186</v>
      </c>
      <c r="E52" s="5" t="s">
        <v>183</v>
      </c>
      <c r="F52" s="5" t="s">
        <v>184</v>
      </c>
      <c r="G52" s="5">
        <v>414</v>
      </c>
      <c r="H52" s="7" t="str">
        <f>IF(COUNTIF($M$2:M52,M52)=1,
SUMIFS($G:$G,$M:$M,M52),
"")</f>
        <v/>
      </c>
      <c r="I52" s="7" t="str">
        <f>IF(E52&lt;&gt;E51,SUMIF(E:E,E52,X:X)," ")</f>
        <v xml:space="preserve"> </v>
      </c>
      <c r="J52" s="8" t="str">
        <f>IF(E52&lt;&gt;E51,SUMIF(E:E,E52,Y:Y)," ")</f>
        <v xml:space="preserve"> </v>
      </c>
      <c r="K52" s="5" t="s">
        <v>36</v>
      </c>
      <c r="L52" s="5" t="s">
        <v>160</v>
      </c>
      <c r="O52" s="9" t="str">
        <f>IF(Q52="","",COUNTIFS($M:$M,M52,$W:$W,"1"))</f>
        <v/>
      </c>
      <c r="P52" s="9" t="s">
        <v>28</v>
      </c>
      <c r="R52" s="5" t="s">
        <v>30</v>
      </c>
      <c r="S52" s="5">
        <v>260</v>
      </c>
      <c r="T52" s="9" t="str">
        <f t="shared" si="3"/>
        <v/>
      </c>
      <c r="V52" s="5" t="str">
        <f>VLOOKUP(E52,'[1]CH DCPT CẤP HÀNG'!$B:$I,8,0)</f>
        <v>GHN</v>
      </c>
      <c r="W52" s="9">
        <f>IF(COUNTIFS($M$2:$M52,M52,$E$2:$E52,E52)=1,1,0)</f>
        <v>0</v>
      </c>
      <c r="X52" s="9">
        <v>171.63418181818182</v>
      </c>
      <c r="Y52" s="9">
        <v>0.91849729107141642</v>
      </c>
      <c r="Z52" s="9" t="str">
        <f>IF(COUNTIF(K$2:K52,K52)=1,SUMIF(K:K,K52,H:H)/SUMIF(K:K,K52,W:W),"")</f>
        <v/>
      </c>
      <c r="AA52" s="9" t="str">
        <f>IF(COUNTIF($M$2:M52,M52)=1, SUMIF(M:M,M52,X:X), "")</f>
        <v/>
      </c>
      <c r="AB52" s="9" t="str">
        <f>IF(COUNTIF($M$2:M52,M52)=1, SUMIF(M:M,M52,Y:Y), "")</f>
        <v/>
      </c>
    </row>
    <row r="53" spans="1:28" x14ac:dyDescent="0.35">
      <c r="A53" s="5">
        <f ca="1">IF(B53="","",COUNTA($B$2:B53))</f>
        <v>52</v>
      </c>
      <c r="B53" s="6">
        <f t="shared" ca="1" si="2"/>
        <v>46193</v>
      </c>
      <c r="C53" s="5" t="s">
        <v>187</v>
      </c>
      <c r="D53" s="5" t="s">
        <v>188</v>
      </c>
      <c r="E53" s="5" t="s">
        <v>189</v>
      </c>
      <c r="F53" s="5" t="s">
        <v>190</v>
      </c>
      <c r="G53" s="5">
        <v>161</v>
      </c>
      <c r="H53" s="7" t="str">
        <f>IF(COUNTIF($M$2:M53,M53)=1,
SUMIFS($G:$G,$M:$M,M53),
"")</f>
        <v/>
      </c>
      <c r="I53" s="7">
        <f>IF(E53&lt;&gt;E52,SUMIF(E:E,E53,X:X)," ")</f>
        <v>284.29128867623604</v>
      </c>
      <c r="J53" s="8">
        <f>IF(E53&lt;&gt;E52,SUMIF(E:E,E53,Y:Y)," ")</f>
        <v>1.347214083719998</v>
      </c>
      <c r="K53" s="5" t="s">
        <v>36</v>
      </c>
      <c r="L53" s="5" t="s">
        <v>191</v>
      </c>
      <c r="O53" s="9" t="str">
        <f>IF(Q53="","",COUNTIFS($M:$M,M53,$W:$W,"1"))</f>
        <v/>
      </c>
      <c r="P53" s="9" t="s">
        <v>28</v>
      </c>
      <c r="R53" s="5" t="s">
        <v>30</v>
      </c>
      <c r="S53" s="5">
        <v>261</v>
      </c>
      <c r="T53" s="9" t="str">
        <f t="shared" si="3"/>
        <v/>
      </c>
      <c r="V53" s="5" t="str">
        <f>VLOOKUP(E53,'[1]CH DCPT CẤP HÀNG'!$B:$I,8,0)</f>
        <v>GHN</v>
      </c>
      <c r="W53" s="9">
        <f>IF(COUNTIFS($M$2:$M53,M53,$E$2:$E53,E53)=1,1,0)</f>
        <v>0</v>
      </c>
      <c r="X53" s="9">
        <v>113.94256140350875</v>
      </c>
      <c r="Y53" s="9">
        <v>0.56240497470742379</v>
      </c>
      <c r="Z53" s="9" t="str">
        <f>IF(COUNTIF(K$2:K53,K53)=1,SUMIF(K:K,K53,H:H)/SUMIF(K:K,K53,W:W),"")</f>
        <v/>
      </c>
      <c r="AA53" s="9" t="str">
        <f>IF(COUNTIF($M$2:M53,M53)=1, SUMIF(M:M,M53,X:X), "")</f>
        <v/>
      </c>
      <c r="AB53" s="9" t="str">
        <f>IF(COUNTIF($M$2:M53,M53)=1, SUMIF(M:M,M53,Y:Y), "")</f>
        <v/>
      </c>
    </row>
    <row r="54" spans="1:28" x14ac:dyDescent="0.35">
      <c r="A54" s="5">
        <f ca="1">IF(B54="","",COUNTA($B$2:B54))</f>
        <v>53</v>
      </c>
      <c r="B54" s="6">
        <f t="shared" ca="1" si="2"/>
        <v>46193</v>
      </c>
      <c r="C54" s="5" t="s">
        <v>192</v>
      </c>
      <c r="D54" s="5" t="s">
        <v>193</v>
      </c>
      <c r="E54" s="5" t="s">
        <v>189</v>
      </c>
      <c r="F54" s="5" t="s">
        <v>190</v>
      </c>
      <c r="G54" s="5">
        <v>284</v>
      </c>
      <c r="H54" s="7" t="str">
        <f>IF(COUNTIF($M$2:M54,M54)=1,
SUMIFS($G:$G,$M:$M,M54),
"")</f>
        <v/>
      </c>
      <c r="I54" s="7" t="str">
        <f>IF(E54&lt;&gt;E53,SUMIF(E:E,E54,X:X)," ")</f>
        <v xml:space="preserve"> </v>
      </c>
      <c r="J54" s="8" t="str">
        <f>IF(E54&lt;&gt;E53,SUMIF(E:E,E54,Y:Y)," ")</f>
        <v xml:space="preserve"> </v>
      </c>
      <c r="K54" s="5" t="s">
        <v>36</v>
      </c>
      <c r="L54" s="5" t="s">
        <v>191</v>
      </c>
      <c r="O54" s="9" t="str">
        <f>IF(Q54="","",COUNTIFS($M:$M,M54,$W:$W,"1"))</f>
        <v/>
      </c>
      <c r="P54" s="9" t="s">
        <v>28</v>
      </c>
      <c r="R54" s="5" t="s">
        <v>30</v>
      </c>
      <c r="S54" s="5">
        <v>261</v>
      </c>
      <c r="T54" s="9" t="str">
        <f t="shared" si="3"/>
        <v/>
      </c>
      <c r="V54" s="5" t="str">
        <f>VLOOKUP(E54,'[1]CH DCPT CẤP HÀNG'!$B:$I,8,0)</f>
        <v>GHN</v>
      </c>
      <c r="W54" s="9">
        <f>IF(COUNTIFS($M$2:$M54,M54,$E$2:$E54,E54)=1,1,0)</f>
        <v>0</v>
      </c>
      <c r="X54" s="9">
        <v>170.34872727272727</v>
      </c>
      <c r="Y54" s="9">
        <v>0.78480910901257417</v>
      </c>
      <c r="Z54" s="9" t="str">
        <f>IF(COUNTIF(K$2:K54,K54)=1,SUMIF(K:K,K54,H:H)/SUMIF(K:K,K54,W:W),"")</f>
        <v/>
      </c>
      <c r="AA54" s="9" t="str">
        <f>IF(COUNTIF($M$2:M54,M54)=1, SUMIF(M:M,M54,X:X), "")</f>
        <v/>
      </c>
      <c r="AB54" s="9" t="str">
        <f>IF(COUNTIF($M$2:M54,M54)=1, SUMIF(M:M,M54,Y:Y), "")</f>
        <v/>
      </c>
    </row>
    <row r="55" spans="1:28" x14ac:dyDescent="0.35">
      <c r="A55" s="5">
        <f ca="1">IF(B55="","",COUNTA($B$2:B55))</f>
        <v>54</v>
      </c>
      <c r="B55" s="6">
        <f t="shared" ca="1" si="2"/>
        <v>46193</v>
      </c>
      <c r="C55" s="5" t="s">
        <v>194</v>
      </c>
      <c r="D55" s="5" t="s">
        <v>195</v>
      </c>
      <c r="E55" s="5" t="s">
        <v>196</v>
      </c>
      <c r="F55" s="5" t="s">
        <v>197</v>
      </c>
      <c r="G55" s="5">
        <v>6</v>
      </c>
      <c r="H55" s="7" t="str">
        <f>IF(COUNTIF($M$2:M55,M55)=1,
SUMIFS($G:$G,$M:$M,M55),
"")</f>
        <v/>
      </c>
      <c r="I55" s="7">
        <f>IF(E55&lt;&gt;E54,SUMIF(E:E,E55,X:X)," ")</f>
        <v>986.52696516676315</v>
      </c>
      <c r="J55" s="8">
        <f>IF(E55&lt;&gt;E54,SUMIF(E:E,E55,Y:Y)," ")</f>
        <v>2.7335456073041797</v>
      </c>
      <c r="K55" s="5" t="s">
        <v>36</v>
      </c>
      <c r="L55" s="5" t="s">
        <v>191</v>
      </c>
      <c r="O55" s="9" t="str">
        <f>IF(Q55="","",COUNTIFS($M:$M,M55,$W:$W,"1"))</f>
        <v/>
      </c>
      <c r="P55" s="9" t="s">
        <v>28</v>
      </c>
      <c r="R55" s="5" t="s">
        <v>30</v>
      </c>
      <c r="S55" s="5">
        <v>262</v>
      </c>
      <c r="T55" s="9" t="str">
        <f t="shared" si="3"/>
        <v/>
      </c>
      <c r="V55" s="5" t="str">
        <f>VLOOKUP(E55,'[1]CH DCPT CẤP HÀNG'!$B:$I,8,0)</f>
        <v>GHN</v>
      </c>
      <c r="W55" s="9">
        <f>IF(COUNTIFS($M$2:$M55,M55,$E$2:$E55,E55)=1,1,0)</f>
        <v>0</v>
      </c>
      <c r="X55" s="9">
        <v>9.2423157894736843</v>
      </c>
      <c r="Y55" s="9">
        <v>2.2974461538461537E-2</v>
      </c>
      <c r="Z55" s="9" t="str">
        <f>IF(COUNTIF(K$2:K55,K55)=1,SUMIF(K:K,K55,H:H)/SUMIF(K:K,K55,W:W),"")</f>
        <v/>
      </c>
      <c r="AA55" s="9" t="str">
        <f>IF(COUNTIF($M$2:M55,M55)=1, SUMIF(M:M,M55,X:X), "")</f>
        <v/>
      </c>
      <c r="AB55" s="9" t="str">
        <f>IF(COUNTIF($M$2:M55,M55)=1, SUMIF(M:M,M55,Y:Y), "")</f>
        <v/>
      </c>
    </row>
    <row r="56" spans="1:28" x14ac:dyDescent="0.35">
      <c r="A56" s="5">
        <f ca="1">IF(B56="","",COUNTA($B$2:B56))</f>
        <v>55</v>
      </c>
      <c r="B56" s="6">
        <f t="shared" ca="1" si="2"/>
        <v>46193</v>
      </c>
      <c r="C56" s="5" t="s">
        <v>198</v>
      </c>
      <c r="D56" s="5" t="s">
        <v>199</v>
      </c>
      <c r="E56" s="5" t="s">
        <v>196</v>
      </c>
      <c r="F56" s="5" t="s">
        <v>197</v>
      </c>
      <c r="G56" s="5">
        <v>2273</v>
      </c>
      <c r="H56" s="7" t="str">
        <f>IF(COUNTIF($M$2:M56,M56)=1,
SUMIFS($G:$G,$M:$M,M56),
"")</f>
        <v/>
      </c>
      <c r="I56" s="7" t="str">
        <f>IF(E56&lt;&gt;E55,SUMIF(E:E,E56,X:X)," ")</f>
        <v xml:space="preserve"> </v>
      </c>
      <c r="J56" s="8" t="str">
        <f>IF(E56&lt;&gt;E55,SUMIF(E:E,E56,Y:Y)," ")</f>
        <v xml:space="preserve"> </v>
      </c>
      <c r="K56" s="5" t="s">
        <v>36</v>
      </c>
      <c r="L56" s="5" t="s">
        <v>191</v>
      </c>
      <c r="O56" s="9" t="str">
        <f>IF(Q56="","",COUNTIFS($M:$M,M56,$W:$W,"1"))</f>
        <v/>
      </c>
      <c r="P56" s="9" t="s">
        <v>28</v>
      </c>
      <c r="R56" s="5" t="s">
        <v>29</v>
      </c>
      <c r="S56" s="5">
        <v>262</v>
      </c>
      <c r="T56" s="9" t="str">
        <f t="shared" si="3"/>
        <v/>
      </c>
      <c r="V56" s="5" t="str">
        <f>VLOOKUP(E56,'[1]CH DCPT CẤP HÀNG'!$B:$I,8,0)</f>
        <v>GHN</v>
      </c>
      <c r="W56" s="9">
        <f>IF(COUNTIFS($M$2:$M56,M56,$E$2:$E56,E56)=1,1,0)</f>
        <v>0</v>
      </c>
      <c r="X56" s="9">
        <v>324.18464937728936</v>
      </c>
      <c r="Y56" s="9">
        <v>1.6467707801042557</v>
      </c>
      <c r="Z56" s="9" t="str">
        <f>IF(COUNTIF(K$2:K56,K56)=1,SUMIF(K:K,K56,H:H)/SUMIF(K:K,K56,W:W),"")</f>
        <v/>
      </c>
      <c r="AA56" s="9" t="str">
        <f>IF(COUNTIF($M$2:M56,M56)=1, SUMIF(M:M,M56,X:X), "")</f>
        <v/>
      </c>
      <c r="AB56" s="9" t="str">
        <f>IF(COUNTIF($M$2:M56,M56)=1, SUMIF(M:M,M56,Y:Y), "")</f>
        <v/>
      </c>
    </row>
    <row r="57" spans="1:28" x14ac:dyDescent="0.35">
      <c r="A57" s="5">
        <f ca="1">IF(B57="","",COUNTA($B$2:B57))</f>
        <v>56</v>
      </c>
      <c r="B57" s="6">
        <f t="shared" ca="1" si="2"/>
        <v>46193</v>
      </c>
      <c r="C57" s="5" t="s">
        <v>200</v>
      </c>
      <c r="D57" s="5" t="s">
        <v>201</v>
      </c>
      <c r="E57" s="5" t="s">
        <v>196</v>
      </c>
      <c r="F57" s="5" t="s">
        <v>197</v>
      </c>
      <c r="G57" s="5">
        <v>308</v>
      </c>
      <c r="H57" s="7" t="str">
        <f>IF(COUNTIF($M$2:M57,M57)=1,
SUMIFS($G:$G,$M:$M,M57),
"")</f>
        <v/>
      </c>
      <c r="I57" s="7" t="str">
        <f>IF(E57&lt;&gt;E56,SUMIF(E:E,E57,X:X)," ")</f>
        <v xml:space="preserve"> </v>
      </c>
      <c r="J57" s="8" t="str">
        <f>IF(E57&lt;&gt;E56,SUMIF(E:E,E57,Y:Y)," ")</f>
        <v xml:space="preserve"> </v>
      </c>
      <c r="K57" s="5" t="s">
        <v>36</v>
      </c>
      <c r="L57" s="5" t="s">
        <v>191</v>
      </c>
      <c r="O57" s="9" t="str">
        <f>IF(Q57="","",COUNTIFS($M:$M,M57,$W:$W,"1"))</f>
        <v/>
      </c>
      <c r="P57" s="9" t="s">
        <v>28</v>
      </c>
      <c r="R57" s="5" t="s">
        <v>30</v>
      </c>
      <c r="S57" s="5">
        <v>262</v>
      </c>
      <c r="T57" s="9" t="str">
        <f t="shared" si="3"/>
        <v/>
      </c>
      <c r="V57" s="5" t="str">
        <f>VLOOKUP(E57,'[1]CH DCPT CẤP HÀNG'!$B:$I,8,0)</f>
        <v>GHN</v>
      </c>
      <c r="W57" s="9">
        <f>IF(COUNTIFS($M$2:$M57,M57,$E$2:$E57,E57)=1,1,0)</f>
        <v>0</v>
      </c>
      <c r="X57" s="9">
        <v>653.1</v>
      </c>
      <c r="Y57" s="9">
        <v>1.0638003656614623</v>
      </c>
      <c r="Z57" s="9" t="str">
        <f>IF(COUNTIF(K$2:K57,K57)=1,SUMIF(K:K,K57,H:H)/SUMIF(K:K,K57,W:W),"")</f>
        <v/>
      </c>
      <c r="AA57" s="9" t="str">
        <f>IF(COUNTIF($M$2:M57,M57)=1, SUMIF(M:M,M57,X:X), "")</f>
        <v/>
      </c>
      <c r="AB57" s="9" t="str">
        <f>IF(COUNTIF($M$2:M57,M57)=1, SUMIF(M:M,M57,Y:Y), "")</f>
        <v/>
      </c>
    </row>
    <row r="58" spans="1:28" x14ac:dyDescent="0.35">
      <c r="A58" s="5">
        <f ca="1">IF(B58="","",COUNTA($B$2:B58))</f>
        <v>57</v>
      </c>
      <c r="B58" s="6">
        <f t="shared" ca="1" si="2"/>
        <v>46193</v>
      </c>
      <c r="C58" s="5" t="s">
        <v>202</v>
      </c>
      <c r="D58" s="5" t="s">
        <v>203</v>
      </c>
      <c r="E58" s="5" t="s">
        <v>204</v>
      </c>
      <c r="F58" s="5" t="s">
        <v>205</v>
      </c>
      <c r="G58" s="5">
        <v>72</v>
      </c>
      <c r="H58" s="7" t="str">
        <f>IF(COUNTIF($M$2:M58,M58)=1,
SUMIFS($G:$G,$M:$M,M58),
"")</f>
        <v/>
      </c>
      <c r="I58" s="7">
        <f>IF(E58&lt;&gt;E57,SUMIF(E:E,E58,X:X)," ")</f>
        <v>87.37406060606061</v>
      </c>
      <c r="J58" s="8">
        <f>IF(E58&lt;&gt;E57,SUMIF(E:E,E58,Y:Y)," ")</f>
        <v>0.62348606387061911</v>
      </c>
      <c r="K58" s="5" t="s">
        <v>36</v>
      </c>
      <c r="L58" s="5" t="s">
        <v>191</v>
      </c>
      <c r="O58" s="9" t="str">
        <f>IF(Q58="","",COUNTIFS($M:$M,M58,$W:$W,"1"))</f>
        <v/>
      </c>
      <c r="P58" s="9" t="s">
        <v>28</v>
      </c>
      <c r="R58" s="5" t="s">
        <v>30</v>
      </c>
      <c r="S58" s="5">
        <v>263</v>
      </c>
      <c r="T58" s="9" t="str">
        <f t="shared" si="3"/>
        <v/>
      </c>
      <c r="V58" s="5" t="str">
        <f>VLOOKUP(E58,'[1]CH DCPT CẤP HÀNG'!$B:$I,8,0)</f>
        <v>GHN</v>
      </c>
      <c r="W58" s="9">
        <f>IF(COUNTIFS($M$2:$M58,M58,$E$2:$E58,E58)=1,1,0)</f>
        <v>0</v>
      </c>
      <c r="X58" s="9">
        <v>36.301333333333339</v>
      </c>
      <c r="Y58" s="9">
        <v>0.21687543590412259</v>
      </c>
      <c r="Z58" s="9" t="str">
        <f>IF(COUNTIF(K$2:K58,K58)=1,SUMIF(K:K,K58,H:H)/SUMIF(K:K,K58,W:W),"")</f>
        <v/>
      </c>
      <c r="AA58" s="9" t="str">
        <f>IF(COUNTIF($M$2:M58,M58)=1, SUMIF(M:M,M58,X:X), "")</f>
        <v/>
      </c>
      <c r="AB58" s="9" t="str">
        <f>IF(COUNTIF($M$2:M58,M58)=1, SUMIF(M:M,M58,Y:Y), "")</f>
        <v/>
      </c>
    </row>
    <row r="59" spans="1:28" x14ac:dyDescent="0.35">
      <c r="A59" s="5">
        <f ca="1">IF(B59="","",COUNTA($B$2:B59))</f>
        <v>58</v>
      </c>
      <c r="B59" s="6">
        <f t="shared" ca="1" si="2"/>
        <v>46193</v>
      </c>
      <c r="C59" s="5" t="s">
        <v>206</v>
      </c>
      <c r="D59" s="5" t="s">
        <v>207</v>
      </c>
      <c r="E59" s="5" t="s">
        <v>204</v>
      </c>
      <c r="F59" s="5" t="s">
        <v>205</v>
      </c>
      <c r="G59" s="5">
        <v>132</v>
      </c>
      <c r="H59" s="7" t="str">
        <f>IF(COUNTIF($M$2:M59,M59)=1,
SUMIFS($G:$G,$M:$M,M59),
"")</f>
        <v/>
      </c>
      <c r="I59" s="7" t="str">
        <f>IF(E59&lt;&gt;E58,SUMIF(E:E,E59,X:X)," ")</f>
        <v xml:space="preserve"> </v>
      </c>
      <c r="J59" s="8" t="str">
        <f>IF(E59&lt;&gt;E58,SUMIF(E:E,E59,Y:Y)," ")</f>
        <v xml:space="preserve"> </v>
      </c>
      <c r="K59" s="5" t="s">
        <v>36</v>
      </c>
      <c r="L59" s="5" t="s">
        <v>191</v>
      </c>
      <c r="O59" s="9" t="str">
        <f>IF(Q59="","",COUNTIFS($M:$M,M59,$W:$W,"1"))</f>
        <v/>
      </c>
      <c r="P59" s="9" t="s">
        <v>28</v>
      </c>
      <c r="R59" s="5" t="s">
        <v>30</v>
      </c>
      <c r="S59" s="5">
        <v>263</v>
      </c>
      <c r="T59" s="9" t="str">
        <f t="shared" si="3"/>
        <v/>
      </c>
      <c r="V59" s="5" t="str">
        <f>VLOOKUP(E59,'[1]CH DCPT CẤP HÀNG'!$B:$I,8,0)</f>
        <v>GHN</v>
      </c>
      <c r="W59" s="9">
        <f>IF(COUNTIFS($M$2:$M59,M59,$E$2:$E59,E59)=1,1,0)</f>
        <v>0</v>
      </c>
      <c r="X59" s="9">
        <v>51.072727272727271</v>
      </c>
      <c r="Y59" s="9">
        <v>0.4066106279664965</v>
      </c>
      <c r="Z59" s="9" t="str">
        <f>IF(COUNTIF(K$2:K59,K59)=1,SUMIF(K:K,K59,H:H)/SUMIF(K:K,K59,W:W),"")</f>
        <v/>
      </c>
      <c r="AA59" s="9" t="str">
        <f>IF(COUNTIF($M$2:M59,M59)=1, SUMIF(M:M,M59,X:X), "")</f>
        <v/>
      </c>
      <c r="AB59" s="9" t="str">
        <f>IF(COUNTIF($M$2:M59,M59)=1, SUMIF(M:M,M59,Y:Y), "")</f>
        <v/>
      </c>
    </row>
    <row r="60" spans="1:28" x14ac:dyDescent="0.35">
      <c r="A60" s="5">
        <f ca="1">IF(B60="","",COUNTA($B$2:B60))</f>
        <v>59</v>
      </c>
      <c r="B60" s="6">
        <f t="shared" ca="1" si="2"/>
        <v>46193</v>
      </c>
      <c r="C60" s="5" t="s">
        <v>208</v>
      </c>
      <c r="D60" s="5" t="s">
        <v>209</v>
      </c>
      <c r="E60" s="5" t="s">
        <v>210</v>
      </c>
      <c r="F60" s="5" t="s">
        <v>211</v>
      </c>
      <c r="G60" s="5">
        <v>106</v>
      </c>
      <c r="H60" s="7" t="str">
        <f>IF(COUNTIF($M$2:M60,M60)=1,
SUMIFS($G:$G,$M:$M,M60),
"")</f>
        <v/>
      </c>
      <c r="I60" s="7">
        <f>IF(E60&lt;&gt;E59,SUMIF(E:E,E60,X:X)," ")</f>
        <v>104.51109090909091</v>
      </c>
      <c r="J60" s="8">
        <f>IF(E60&lt;&gt;E59,SUMIF(E:E,E60,Y:Y)," ")</f>
        <v>0.69260182763725409</v>
      </c>
      <c r="K60" s="5" t="s">
        <v>36</v>
      </c>
      <c r="L60" s="5" t="s">
        <v>191</v>
      </c>
      <c r="O60" s="9" t="str">
        <f>IF(Q60="","",COUNTIFS($M:$M,M60,$W:$W,"1"))</f>
        <v/>
      </c>
      <c r="P60" s="9" t="s">
        <v>28</v>
      </c>
      <c r="R60" s="5" t="s">
        <v>30</v>
      </c>
      <c r="S60" s="5">
        <v>264</v>
      </c>
      <c r="T60" s="9" t="str">
        <f t="shared" si="3"/>
        <v/>
      </c>
      <c r="V60" s="5" t="str">
        <f>VLOOKUP(E60,'[1]CH DCPT CẤP HÀNG'!$B:$I,8,0)</f>
        <v>GHN</v>
      </c>
      <c r="W60" s="9">
        <f>IF(COUNTIFS($M$2:$M60,M60,$E$2:$E60,E60)=1,1,0)</f>
        <v>0</v>
      </c>
      <c r="X60" s="9">
        <v>49.216999999999999</v>
      </c>
      <c r="Y60" s="9">
        <v>0.27100601684002651</v>
      </c>
      <c r="Z60" s="9" t="str">
        <f>IF(COUNTIF(K$2:K60,K60)=1,SUMIF(K:K,K60,H:H)/SUMIF(K:K,K60,W:W),"")</f>
        <v/>
      </c>
      <c r="AA60" s="9" t="str">
        <f>IF(COUNTIF($M$2:M60,M60)=1, SUMIF(M:M,M60,X:X), "")</f>
        <v/>
      </c>
      <c r="AB60" s="9" t="str">
        <f>IF(COUNTIF($M$2:M60,M60)=1, SUMIF(M:M,M60,Y:Y), "")</f>
        <v/>
      </c>
    </row>
    <row r="61" spans="1:28" x14ac:dyDescent="0.35">
      <c r="A61" s="5">
        <f ca="1">IF(B61="","",COUNTA($B$2:B61))</f>
        <v>60</v>
      </c>
      <c r="B61" s="6">
        <f t="shared" ca="1" si="2"/>
        <v>46193</v>
      </c>
      <c r="C61" s="5" t="s">
        <v>212</v>
      </c>
      <c r="D61" s="5" t="s">
        <v>213</v>
      </c>
      <c r="E61" s="5" t="s">
        <v>210</v>
      </c>
      <c r="F61" s="5" t="s">
        <v>211</v>
      </c>
      <c r="G61" s="5">
        <v>224</v>
      </c>
      <c r="H61" s="7" t="str">
        <f>IF(COUNTIF($M$2:M61,M61)=1,
SUMIFS($G:$G,$M:$M,M61),
"")</f>
        <v/>
      </c>
      <c r="I61" s="7" t="str">
        <f>IF(E61&lt;&gt;E60,SUMIF(E:E,E61,X:X)," ")</f>
        <v xml:space="preserve"> </v>
      </c>
      <c r="J61" s="8" t="str">
        <f>IF(E61&lt;&gt;E60,SUMIF(E:E,E61,Y:Y)," ")</f>
        <v xml:space="preserve"> </v>
      </c>
      <c r="K61" s="5" t="s">
        <v>36</v>
      </c>
      <c r="L61" s="5" t="s">
        <v>191</v>
      </c>
      <c r="O61" s="9" t="str">
        <f>IF(Q61="","",COUNTIFS($M:$M,M61,$W:$W,"1"))</f>
        <v/>
      </c>
      <c r="P61" s="9" t="s">
        <v>28</v>
      </c>
      <c r="R61" s="5" t="s">
        <v>30</v>
      </c>
      <c r="S61" s="5">
        <v>264</v>
      </c>
      <c r="T61" s="9" t="str">
        <f t="shared" si="3"/>
        <v/>
      </c>
      <c r="V61" s="5" t="str">
        <f>VLOOKUP(E61,'[1]CH DCPT CẤP HÀNG'!$B:$I,8,0)</f>
        <v>GHN</v>
      </c>
      <c r="W61" s="9">
        <f>IF(COUNTIFS($M$2:$M61,M61,$E$2:$E61,E61)=1,1,0)</f>
        <v>0</v>
      </c>
      <c r="X61" s="9">
        <v>55.294090909090912</v>
      </c>
      <c r="Y61" s="9">
        <v>0.42159581079722763</v>
      </c>
      <c r="Z61" s="9" t="str">
        <f>IF(COUNTIF(K$2:K61,K61)=1,SUMIF(K:K,K61,H:H)/SUMIF(K:K,K61,W:W),"")</f>
        <v/>
      </c>
      <c r="AA61" s="9" t="str">
        <f>IF(COUNTIF($M$2:M61,M61)=1, SUMIF(M:M,M61,X:X), "")</f>
        <v/>
      </c>
      <c r="AB61" s="9" t="str">
        <f>IF(COUNTIF($M$2:M61,M61)=1, SUMIF(M:M,M61,Y:Y), "")</f>
        <v/>
      </c>
    </row>
    <row r="62" spans="1:28" x14ac:dyDescent="0.35">
      <c r="A62" s="5">
        <f ca="1">IF(B62="","",COUNTA($B$2:B62))</f>
        <v>61</v>
      </c>
      <c r="B62" s="6">
        <f t="shared" ca="1" si="2"/>
        <v>46193</v>
      </c>
      <c r="C62" s="5" t="s">
        <v>214</v>
      </c>
      <c r="D62" s="5" t="s">
        <v>215</v>
      </c>
      <c r="E62" s="5" t="s">
        <v>216</v>
      </c>
      <c r="F62" s="5" t="s">
        <v>217</v>
      </c>
      <c r="G62" s="5">
        <v>94</v>
      </c>
      <c r="H62" s="7" t="str">
        <f>IF(COUNTIF($M$2:M62,M62)=1,
SUMIFS($G:$G,$M:$M,M62),
"")</f>
        <v/>
      </c>
      <c r="I62" s="7">
        <f>IF(E62&lt;&gt;E61,SUMIF(E:E,E62,X:X)," ")</f>
        <v>169.72511897926637</v>
      </c>
      <c r="J62" s="8">
        <f>IF(E62&lt;&gt;E61,SUMIF(E:E,E62,Y:Y)," ")</f>
        <v>1.0473850290125739</v>
      </c>
      <c r="K62" s="5" t="s">
        <v>36</v>
      </c>
      <c r="L62" s="5" t="s">
        <v>191</v>
      </c>
      <c r="O62" s="9" t="str">
        <f>IF(Q62="","",COUNTIFS($M:$M,M62,$W:$W,"1"))</f>
        <v/>
      </c>
      <c r="P62" s="9" t="s">
        <v>28</v>
      </c>
      <c r="R62" s="5" t="s">
        <v>30</v>
      </c>
      <c r="S62" s="5">
        <v>265</v>
      </c>
      <c r="T62" s="9" t="str">
        <f t="shared" si="3"/>
        <v/>
      </c>
      <c r="V62" s="5" t="str">
        <f>VLOOKUP(E62,'[1]CH DCPT CẤP HÀNG'!$B:$I,8,0)</f>
        <v>GHN</v>
      </c>
      <c r="W62" s="9">
        <f>IF(COUNTIFS($M$2:$M62,M62,$E$2:$E62,E62)=1,1,0)</f>
        <v>0</v>
      </c>
      <c r="X62" s="9">
        <v>56.04722807017545</v>
      </c>
      <c r="Y62" s="9">
        <v>0.41341384307692303</v>
      </c>
      <c r="Z62" s="9" t="str">
        <f>IF(COUNTIF(K$2:K62,K62)=1,SUMIF(K:K,K62,H:H)/SUMIF(K:K,K62,W:W),"")</f>
        <v/>
      </c>
      <c r="AA62" s="9" t="str">
        <f>IF(COUNTIF($M$2:M62,M62)=1, SUMIF(M:M,M62,X:X), "")</f>
        <v/>
      </c>
      <c r="AB62" s="9" t="str">
        <f>IF(COUNTIF($M$2:M62,M62)=1, SUMIF(M:M,M62,Y:Y), "")</f>
        <v/>
      </c>
    </row>
    <row r="63" spans="1:28" x14ac:dyDescent="0.35">
      <c r="A63" s="5">
        <f ca="1">IF(B63="","",COUNTA($B$2:B63))</f>
        <v>62</v>
      </c>
      <c r="B63" s="6">
        <f t="shared" ca="1" si="2"/>
        <v>46193</v>
      </c>
      <c r="C63" s="5" t="s">
        <v>218</v>
      </c>
      <c r="D63" s="5" t="s">
        <v>219</v>
      </c>
      <c r="E63" s="5" t="s">
        <v>216</v>
      </c>
      <c r="F63" s="5" t="s">
        <v>217</v>
      </c>
      <c r="G63" s="5">
        <v>294</v>
      </c>
      <c r="H63" s="7" t="str">
        <f>IF(COUNTIF($M$2:M63,M63)=1,
SUMIFS($G:$G,$M:$M,M63),
"")</f>
        <v/>
      </c>
      <c r="I63" s="7" t="str">
        <f>IF(E63&lt;&gt;E62,SUMIF(E:E,E63,X:X)," ")</f>
        <v xml:space="preserve"> </v>
      </c>
      <c r="J63" s="8" t="str">
        <f>IF(E63&lt;&gt;E62,SUMIF(E:E,E63,Y:Y)," ")</f>
        <v xml:space="preserve"> </v>
      </c>
      <c r="K63" s="5" t="s">
        <v>36</v>
      </c>
      <c r="L63" s="5" t="s">
        <v>191</v>
      </c>
      <c r="O63" s="9" t="str">
        <f>IF(Q63="","",COUNTIFS($M:$M,M63,$W:$W,"1"))</f>
        <v/>
      </c>
      <c r="P63" s="9" t="s">
        <v>28</v>
      </c>
      <c r="R63" s="5" t="s">
        <v>30</v>
      </c>
      <c r="S63" s="5">
        <v>265</v>
      </c>
      <c r="T63" s="9" t="str">
        <f t="shared" si="3"/>
        <v/>
      </c>
      <c r="V63" s="5" t="str">
        <f>VLOOKUP(E63,'[1]CH DCPT CẤP HÀNG'!$B:$I,8,0)</f>
        <v>GHN</v>
      </c>
      <c r="W63" s="9">
        <f>IF(COUNTIFS($M$2:$M63,M63,$E$2:$E63,E63)=1,1,0)</f>
        <v>0</v>
      </c>
      <c r="X63" s="9">
        <v>113.67789090909091</v>
      </c>
      <c r="Y63" s="9">
        <v>0.63397118593565094</v>
      </c>
      <c r="Z63" s="9" t="str">
        <f>IF(COUNTIF(K$2:K63,K63)=1,SUMIF(K:K,K63,H:H)/SUMIF(K:K,K63,W:W),"")</f>
        <v/>
      </c>
      <c r="AA63" s="9" t="str">
        <f>IF(COUNTIF($M$2:M63,M63)=1, SUMIF(M:M,M63,X:X), "")</f>
        <v/>
      </c>
      <c r="AB63" s="9" t="str">
        <f>IF(COUNTIF($M$2:M63,M63)=1, SUMIF(M:M,M63,Y:Y), "")</f>
        <v/>
      </c>
    </row>
    <row r="64" spans="1:28" x14ac:dyDescent="0.35">
      <c r="A64" s="5">
        <f ca="1">IF(B64="","",COUNTA($B$2:B64))</f>
        <v>63</v>
      </c>
      <c r="B64" s="6">
        <f t="shared" ca="1" si="2"/>
        <v>46193</v>
      </c>
      <c r="C64" s="5" t="s">
        <v>220</v>
      </c>
      <c r="D64" s="5" t="s">
        <v>221</v>
      </c>
      <c r="E64" s="5" t="s">
        <v>222</v>
      </c>
      <c r="F64" s="5" t="s">
        <v>223</v>
      </c>
      <c r="G64" s="5">
        <v>206</v>
      </c>
      <c r="H64" s="7" t="str">
        <f>IF(COUNTIF($M$2:M64,M64)=1,
SUMIFS($G:$G,$M:$M,M64),
"")</f>
        <v/>
      </c>
      <c r="I64" s="7">
        <f>IF(E64&lt;&gt;E63,SUMIF(E:E,E64,X:X)," ")</f>
        <v>278.77190494417863</v>
      </c>
      <c r="J64" s="8">
        <f>IF(E64&lt;&gt;E63,SUMIF(E:E,E64,Y:Y)," ")</f>
        <v>1.2294235179790167</v>
      </c>
      <c r="K64" s="5" t="s">
        <v>36</v>
      </c>
      <c r="L64" s="5" t="s">
        <v>191</v>
      </c>
      <c r="O64" s="9" t="str">
        <f>IF(Q64="","",COUNTIFS($M:$M,M64,$W:$W,"1"))</f>
        <v/>
      </c>
      <c r="P64" s="9" t="s">
        <v>28</v>
      </c>
      <c r="R64" s="5" t="s">
        <v>30</v>
      </c>
      <c r="S64" s="5">
        <v>266</v>
      </c>
      <c r="T64" s="9" t="str">
        <f t="shared" si="3"/>
        <v/>
      </c>
      <c r="V64" s="5" t="str">
        <f>VLOOKUP(E64,'[1]CH DCPT CẤP HÀNG'!$B:$I,8,0)</f>
        <v>GHN</v>
      </c>
      <c r="W64" s="9">
        <f>IF(COUNTIFS($M$2:$M64,M64,$E$2:$E64,E64)=1,1,0)</f>
        <v>0</v>
      </c>
      <c r="X64" s="9">
        <v>162.28361403508771</v>
      </c>
      <c r="Y64" s="9">
        <v>0.67568693795101997</v>
      </c>
      <c r="Z64" s="9" t="str">
        <f>IF(COUNTIF(K$2:K64,K64)=1,SUMIF(K:K,K64,H:H)/SUMIF(K:K,K64,W:W),"")</f>
        <v/>
      </c>
      <c r="AA64" s="9" t="str">
        <f>IF(COUNTIF($M$2:M64,M64)=1, SUMIF(M:M,M64,X:X), "")</f>
        <v/>
      </c>
      <c r="AB64" s="9" t="str">
        <f>IF(COUNTIF($M$2:M64,M64)=1, SUMIF(M:M,M64,Y:Y), "")</f>
        <v/>
      </c>
    </row>
    <row r="65" spans="1:28" x14ac:dyDescent="0.35">
      <c r="A65" s="5">
        <f ca="1">IF(B65="","",COUNTA($B$2:B65))</f>
        <v>64</v>
      </c>
      <c r="B65" s="6">
        <f t="shared" ca="1" si="2"/>
        <v>46193</v>
      </c>
      <c r="C65" s="5" t="s">
        <v>224</v>
      </c>
      <c r="D65" s="5" t="s">
        <v>225</v>
      </c>
      <c r="E65" s="5" t="s">
        <v>222</v>
      </c>
      <c r="F65" s="5" t="s">
        <v>223</v>
      </c>
      <c r="G65" s="5">
        <v>236</v>
      </c>
      <c r="H65" s="7" t="str">
        <f>IF(COUNTIF($M$2:M65,M65)=1,
SUMIFS($G:$G,$M:$M,M65),
"")</f>
        <v/>
      </c>
      <c r="I65" s="7" t="str">
        <f>IF(E65&lt;&gt;E64,SUMIF(E:E,E65,X:X)," ")</f>
        <v xml:space="preserve"> </v>
      </c>
      <c r="J65" s="8" t="str">
        <f>IF(E65&lt;&gt;E64,SUMIF(E:E,E65,Y:Y)," ")</f>
        <v xml:space="preserve"> </v>
      </c>
      <c r="K65" s="5" t="s">
        <v>36</v>
      </c>
      <c r="L65" s="5" t="s">
        <v>191</v>
      </c>
      <c r="O65" s="9" t="str">
        <f>IF(Q65="","",COUNTIFS($M:$M,M65,$W:$W,"1"))</f>
        <v/>
      </c>
      <c r="P65" s="9" t="s">
        <v>28</v>
      </c>
      <c r="R65" s="5" t="s">
        <v>30</v>
      </c>
      <c r="S65" s="5">
        <v>266</v>
      </c>
      <c r="T65" s="9" t="str">
        <f t="shared" si="3"/>
        <v/>
      </c>
      <c r="V65" s="5" t="str">
        <f>VLOOKUP(E65,'[1]CH DCPT CẤP HÀNG'!$B:$I,8,0)</f>
        <v>GHN</v>
      </c>
      <c r="W65" s="9">
        <f>IF(COUNTIFS($M$2:$M65,M65,$E$2:$E65,E65)=1,1,0)</f>
        <v>0</v>
      </c>
      <c r="X65" s="9">
        <v>116.48829090909091</v>
      </c>
      <c r="Y65" s="9">
        <v>0.55373658002799686</v>
      </c>
      <c r="Z65" s="9" t="str">
        <f>IF(COUNTIF(K$2:K65,K65)=1,SUMIF(K:K,K65,H:H)/SUMIF(K:K,K65,W:W),"")</f>
        <v/>
      </c>
      <c r="AA65" s="9" t="str">
        <f>IF(COUNTIF($M$2:M65,M65)=1, SUMIF(M:M,M65,X:X), "")</f>
        <v/>
      </c>
      <c r="AB65" s="9" t="str">
        <f>IF(COUNTIF($M$2:M65,M65)=1, SUMIF(M:M,M65,Y:Y), "")</f>
        <v/>
      </c>
    </row>
    <row r="66" spans="1:28" x14ac:dyDescent="0.35">
      <c r="A66" s="5">
        <f ca="1">IF(B66="","",COUNTA($B$2:B66))</f>
        <v>65</v>
      </c>
      <c r="B66" s="6">
        <f t="shared" ca="1" si="2"/>
        <v>46193</v>
      </c>
      <c r="C66" s="5" t="s">
        <v>226</v>
      </c>
      <c r="D66" s="5" t="s">
        <v>227</v>
      </c>
      <c r="E66" s="5" t="s">
        <v>228</v>
      </c>
      <c r="F66" s="5" t="s">
        <v>229</v>
      </c>
      <c r="G66" s="5">
        <v>165</v>
      </c>
      <c r="H66" s="7" t="str">
        <f>IF(COUNTIF($M$2:M66,M66)=1,
SUMIFS($G:$G,$M:$M,M66),
"")</f>
        <v/>
      </c>
      <c r="I66" s="7">
        <f>IF(E66&lt;&gt;E65,SUMIF(E:E,E66,X:X)," ")</f>
        <v>175.00922424242424</v>
      </c>
      <c r="J66" s="8">
        <f>IF(E66&lt;&gt;E65,SUMIF(E:E,E66,Y:Y)," ")</f>
        <v>1.0430086659831019</v>
      </c>
      <c r="K66" s="5" t="s">
        <v>36</v>
      </c>
      <c r="L66" s="5" t="s">
        <v>191</v>
      </c>
      <c r="O66" s="9" t="str">
        <f>IF(Q66="","",COUNTIFS($M:$M,M66,$W:$W,"1"))</f>
        <v/>
      </c>
      <c r="P66" s="9" t="s">
        <v>28</v>
      </c>
      <c r="R66" s="5" t="s">
        <v>30</v>
      </c>
      <c r="S66" s="5">
        <v>267</v>
      </c>
      <c r="T66" s="9" t="str">
        <f t="shared" si="3"/>
        <v/>
      </c>
      <c r="V66" s="5" t="str">
        <f>VLOOKUP(E66,'[1]CH DCPT CẤP HÀNG'!$B:$I,8,0)</f>
        <v>GHN</v>
      </c>
      <c r="W66" s="9">
        <f>IF(COUNTIFS($M$2:$M66,M66,$E$2:$E66,E66)=1,1,0)</f>
        <v>0</v>
      </c>
      <c r="X66" s="9">
        <v>73.100133333333346</v>
      </c>
      <c r="Y66" s="9">
        <v>0.53322670133972039</v>
      </c>
      <c r="Z66" s="9" t="str">
        <f>IF(COUNTIF(K$2:K66,K66)=1,SUMIF(K:K,K66,H:H)/SUMIF(K:K,K66,W:W),"")</f>
        <v/>
      </c>
      <c r="AA66" s="9" t="str">
        <f>IF(COUNTIF($M$2:M66,M66)=1, SUMIF(M:M,M66,X:X), "")</f>
        <v/>
      </c>
      <c r="AB66" s="9" t="str">
        <f>IF(COUNTIF($M$2:M66,M66)=1, SUMIF(M:M,M66,Y:Y), "")</f>
        <v/>
      </c>
    </row>
    <row r="67" spans="1:28" x14ac:dyDescent="0.35">
      <c r="A67" s="5">
        <f ca="1">IF(B67="","",COUNTA($B$2:B67))</f>
        <v>66</v>
      </c>
      <c r="B67" s="6">
        <f t="shared" ca="1" si="2"/>
        <v>46193</v>
      </c>
      <c r="C67" s="5" t="s">
        <v>230</v>
      </c>
      <c r="D67" s="5" t="s">
        <v>231</v>
      </c>
      <c r="E67" s="5" t="s">
        <v>228</v>
      </c>
      <c r="F67" s="5" t="s">
        <v>229</v>
      </c>
      <c r="G67" s="5">
        <v>170</v>
      </c>
      <c r="H67" s="7" t="str">
        <f>IF(COUNTIF($M$2:M67,M67)=1,
SUMIFS($G:$G,$M:$M,M67),
"")</f>
        <v/>
      </c>
      <c r="I67" s="7" t="str">
        <f>IF(E67&lt;&gt;E66,SUMIF(E:E,E67,X:X)," ")</f>
        <v xml:space="preserve"> </v>
      </c>
      <c r="J67" s="8" t="str">
        <f>IF(E67&lt;&gt;E66,SUMIF(E:E,E67,Y:Y)," ")</f>
        <v xml:space="preserve"> </v>
      </c>
      <c r="K67" s="5" t="s">
        <v>36</v>
      </c>
      <c r="L67" s="5" t="s">
        <v>191</v>
      </c>
      <c r="O67" s="9" t="str">
        <f>IF(Q67="","",COUNTIFS($M:$M,M67,$W:$W,"1"))</f>
        <v/>
      </c>
      <c r="P67" s="9" t="s">
        <v>28</v>
      </c>
      <c r="R67" s="5" t="s">
        <v>30</v>
      </c>
      <c r="S67" s="5">
        <v>267</v>
      </c>
      <c r="T67" s="9" t="str">
        <f t="shared" si="3"/>
        <v/>
      </c>
      <c r="V67" s="5" t="str">
        <f>VLOOKUP(E67,'[1]CH DCPT CẤP HÀNG'!$B:$I,8,0)</f>
        <v>GHN</v>
      </c>
      <c r="W67" s="9">
        <f>IF(COUNTIFS($M$2:$M67,M67,$E$2:$E67,E67)=1,1,0)</f>
        <v>0</v>
      </c>
      <c r="X67" s="9">
        <v>101.90909090909091</v>
      </c>
      <c r="Y67" s="9">
        <v>0.50978196464338144</v>
      </c>
      <c r="Z67" s="9" t="str">
        <f>IF(COUNTIF(K$2:K67,K67)=1,SUMIF(K:K,K67,H:H)/SUMIF(K:K,K67,W:W),"")</f>
        <v/>
      </c>
      <c r="AA67" s="9" t="str">
        <f>IF(COUNTIF($M$2:M67,M67)=1, SUMIF(M:M,M67,X:X), "")</f>
        <v/>
      </c>
      <c r="AB67" s="9" t="str">
        <f>IF(COUNTIF($M$2:M67,M67)=1, SUMIF(M:M,M67,Y:Y), "")</f>
        <v/>
      </c>
    </row>
    <row r="68" spans="1:28" x14ac:dyDescent="0.35">
      <c r="A68" s="5">
        <f ca="1">IF(B68="","",COUNTA($B$2:B68))</f>
        <v>67</v>
      </c>
      <c r="B68" s="6">
        <f t="shared" ca="1" si="2"/>
        <v>46193</v>
      </c>
      <c r="C68" s="5" t="s">
        <v>232</v>
      </c>
      <c r="D68" s="5" t="s">
        <v>233</v>
      </c>
      <c r="E68" s="5" t="s">
        <v>234</v>
      </c>
      <c r="F68" s="5" t="s">
        <v>235</v>
      </c>
      <c r="G68" s="5">
        <v>154</v>
      </c>
      <c r="H68" s="7" t="str">
        <f>IF(COUNTIF($M$2:M68,M68)=1,
SUMIFS($G:$G,$M:$M,M68),
"")</f>
        <v/>
      </c>
      <c r="I68" s="7">
        <f>IF(E68&lt;&gt;E67,SUMIF(E:E,E68,X:X)," ")</f>
        <v>96.954133333333303</v>
      </c>
      <c r="J68" s="8">
        <f>IF(E68&lt;&gt;E67,SUMIF(E:E,E68,Y:Y)," ")</f>
        <v>0.58535804233767808</v>
      </c>
      <c r="K68" s="5" t="s">
        <v>36</v>
      </c>
      <c r="L68" s="5" t="s">
        <v>191</v>
      </c>
      <c r="O68" s="9" t="str">
        <f>IF(Q68="","",COUNTIFS($M:$M,M68,$W:$W,"1"))</f>
        <v/>
      </c>
      <c r="P68" s="9" t="s">
        <v>28</v>
      </c>
      <c r="R68" s="5" t="s">
        <v>30</v>
      </c>
      <c r="S68" s="5">
        <v>268</v>
      </c>
      <c r="T68" s="9" t="str">
        <f t="shared" si="3"/>
        <v/>
      </c>
      <c r="V68" s="5" t="str">
        <f>VLOOKUP(E68,'[1]CH DCPT CẤP HÀNG'!$B:$I,8,0)</f>
        <v>GHN</v>
      </c>
      <c r="W68" s="9">
        <f>IF(COUNTIFS($M$2:$M68,M68,$E$2:$E68,E68)=1,1,0)</f>
        <v>0</v>
      </c>
      <c r="X68" s="9">
        <v>79.654133333333306</v>
      </c>
      <c r="Y68" s="9">
        <v>0.46977854233767807</v>
      </c>
      <c r="Z68" s="9" t="str">
        <f>IF(COUNTIF(K$2:K68,K68)=1,SUMIF(K:K,K68,H:H)/SUMIF(K:K,K68,W:W),"")</f>
        <v/>
      </c>
      <c r="AA68" s="9" t="str">
        <f>IF(COUNTIF($M$2:M68,M68)=1, SUMIF(M:M,M68,X:X), "")</f>
        <v/>
      </c>
      <c r="AB68" s="9" t="str">
        <f>IF(COUNTIF($M$2:M68,M68)=1, SUMIF(M:M,M68,Y:Y), "")</f>
        <v/>
      </c>
    </row>
    <row r="69" spans="1:28" x14ac:dyDescent="0.35">
      <c r="A69" s="5">
        <f ca="1">IF(B69="","",COUNTA($B$2:B69))</f>
        <v>68</v>
      </c>
      <c r="B69" s="6">
        <f t="shared" ca="1" si="2"/>
        <v>46193</v>
      </c>
      <c r="C69" s="5" t="s">
        <v>236</v>
      </c>
      <c r="D69" s="5" t="s">
        <v>237</v>
      </c>
      <c r="E69" s="5" t="s">
        <v>234</v>
      </c>
      <c r="F69" s="5" t="s">
        <v>235</v>
      </c>
      <c r="G69" s="5">
        <v>84</v>
      </c>
      <c r="H69" s="7" t="str">
        <f>IF(COUNTIF($M$2:M69,M69)=1,
SUMIFS($G:$G,$M:$M,M69),
"")</f>
        <v/>
      </c>
      <c r="I69" s="7" t="str">
        <f>IF(E69&lt;&gt;E68,SUMIF(E:E,E69,X:X)," ")</f>
        <v xml:space="preserve"> </v>
      </c>
      <c r="J69" s="8" t="str">
        <f>IF(E69&lt;&gt;E68,SUMIF(E:E,E69,Y:Y)," ")</f>
        <v xml:space="preserve"> </v>
      </c>
      <c r="K69" s="5" t="s">
        <v>36</v>
      </c>
      <c r="L69" s="5" t="s">
        <v>191</v>
      </c>
      <c r="O69" s="9" t="str">
        <f>IF(Q69="","",COUNTIFS($M:$M,M69,$W:$W,"1"))</f>
        <v/>
      </c>
      <c r="P69" s="9" t="s">
        <v>28</v>
      </c>
      <c r="R69" s="5" t="s">
        <v>30</v>
      </c>
      <c r="S69" s="5">
        <v>268</v>
      </c>
      <c r="T69" s="9" t="str">
        <f t="shared" si="3"/>
        <v/>
      </c>
      <c r="V69" s="5" t="str">
        <f>VLOOKUP(E69,'[1]CH DCPT CẤP HÀNG'!$B:$I,8,0)</f>
        <v>GHN</v>
      </c>
      <c r="W69" s="9">
        <f>IF(COUNTIFS($M$2:$M69,M69,$E$2:$E69,E69)=1,1,0)</f>
        <v>0</v>
      </c>
      <c r="X69" s="9">
        <v>17.3</v>
      </c>
      <c r="Y69" s="9">
        <v>0.1155795</v>
      </c>
      <c r="Z69" s="9" t="str">
        <f>IF(COUNTIF(K$2:K69,K69)=1,SUMIF(K:K,K69,H:H)/SUMIF(K:K,K69,W:W),"")</f>
        <v/>
      </c>
      <c r="AA69" s="9" t="str">
        <f>IF(COUNTIF($M$2:M69,M69)=1, SUMIF(M:M,M69,X:X), "")</f>
        <v/>
      </c>
      <c r="AB69" s="9" t="str">
        <f>IF(COUNTIF($M$2:M69,M69)=1, SUMIF(M:M,M69,Y:Y), "")</f>
        <v/>
      </c>
    </row>
    <row r="70" spans="1:28" x14ac:dyDescent="0.35">
      <c r="A70" s="5">
        <f ca="1">IF(B70="","",COUNTA($B$2:B70))</f>
        <v>69</v>
      </c>
      <c r="B70" s="6">
        <f t="shared" ca="1" si="2"/>
        <v>46193</v>
      </c>
      <c r="C70" s="5" t="s">
        <v>238</v>
      </c>
      <c r="D70" s="5" t="s">
        <v>239</v>
      </c>
      <c r="E70" s="5" t="s">
        <v>240</v>
      </c>
      <c r="F70" s="5" t="s">
        <v>241</v>
      </c>
      <c r="G70" s="5">
        <v>254</v>
      </c>
      <c r="H70" s="7" t="str">
        <f>IF(COUNTIF($M$2:M70,M70)=1,
SUMIFS($G:$G,$M:$M,M70),
"")</f>
        <v/>
      </c>
      <c r="I70" s="7">
        <f>IF(E70&lt;&gt;E69,SUMIF(E:E,E70,X:X)," ")</f>
        <v>429.54314462519937</v>
      </c>
      <c r="J70" s="8">
        <f>IF(E70&lt;&gt;E69,SUMIF(E:E,E70,Y:Y)," ")</f>
        <v>2.1645309089399234</v>
      </c>
      <c r="K70" s="5" t="s">
        <v>36</v>
      </c>
      <c r="L70" s="5" t="s">
        <v>191</v>
      </c>
      <c r="O70" s="9" t="str">
        <f>IF(Q70="","",COUNTIFS($M:$M,M70,$W:$W,"1"))</f>
        <v/>
      </c>
      <c r="P70" s="9" t="s">
        <v>28</v>
      </c>
      <c r="R70" s="5" t="s">
        <v>30</v>
      </c>
      <c r="S70" s="5">
        <v>269</v>
      </c>
      <c r="T70" s="9" t="str">
        <f t="shared" si="3"/>
        <v/>
      </c>
      <c r="V70" s="5" t="str">
        <f>VLOOKUP(E70,'[1]CH DCPT CẤP HÀNG'!$B:$I,8,0)</f>
        <v>GHN</v>
      </c>
      <c r="W70" s="9">
        <f>IF(COUNTIFS($M$2:$M70,M70,$E$2:$E70,E70)=1,1,0)</f>
        <v>0</v>
      </c>
      <c r="X70" s="9">
        <v>112.03150666666667</v>
      </c>
      <c r="Y70" s="9">
        <v>0.47782649013779738</v>
      </c>
      <c r="Z70" s="9" t="str">
        <f>IF(COUNTIF(K$2:K70,K70)=1,SUMIF(K:K,K70,H:H)/SUMIF(K:K,K70,W:W),"")</f>
        <v/>
      </c>
      <c r="AA70" s="9" t="str">
        <f>IF(COUNTIF($M$2:M70,M70)=1, SUMIF(M:M,M70,X:X), "")</f>
        <v/>
      </c>
      <c r="AB70" s="9" t="str">
        <f>IF(COUNTIF($M$2:M70,M70)=1, SUMIF(M:M,M70,Y:Y), "")</f>
        <v/>
      </c>
    </row>
    <row r="71" spans="1:28" x14ac:dyDescent="0.35">
      <c r="A71" s="5">
        <f ca="1">IF(B71="","",COUNTA($B$2:B71))</f>
        <v>70</v>
      </c>
      <c r="B71" s="6">
        <f t="shared" ca="1" si="2"/>
        <v>46193</v>
      </c>
      <c r="C71" s="5" t="s">
        <v>242</v>
      </c>
      <c r="D71" s="5" t="s">
        <v>243</v>
      </c>
      <c r="E71" s="5" t="s">
        <v>240</v>
      </c>
      <c r="F71" s="5" t="s">
        <v>241</v>
      </c>
      <c r="G71" s="5">
        <v>204</v>
      </c>
      <c r="H71" s="7" t="str">
        <f>IF(COUNTIF($M$2:M71,M71)=1,
SUMIFS($G:$G,$M:$M,M71),
"")</f>
        <v/>
      </c>
      <c r="I71" s="7" t="str">
        <f>IF(E71&lt;&gt;E70,SUMIF(E:E,E71,X:X)," ")</f>
        <v xml:space="preserve"> </v>
      </c>
      <c r="J71" s="8" t="str">
        <f>IF(E71&lt;&gt;E70,SUMIF(E:E,E71,Y:Y)," ")</f>
        <v xml:space="preserve"> </v>
      </c>
      <c r="K71" s="5" t="s">
        <v>36</v>
      </c>
      <c r="L71" s="5" t="s">
        <v>191</v>
      </c>
      <c r="O71" s="9" t="str">
        <f>IF(Q71="","",COUNTIFS($M:$M,M71,$W:$W,"1"))</f>
        <v/>
      </c>
      <c r="P71" s="9" t="s">
        <v>28</v>
      </c>
      <c r="R71" s="5" t="s">
        <v>30</v>
      </c>
      <c r="S71" s="5">
        <v>269</v>
      </c>
      <c r="T71" s="9" t="str">
        <f t="shared" si="3"/>
        <v/>
      </c>
      <c r="V71" s="5" t="str">
        <f>VLOOKUP(E71,'[1]CH DCPT CẤP HÀNG'!$B:$I,8,0)</f>
        <v>GHN</v>
      </c>
      <c r="W71" s="9">
        <f>IF(COUNTIFS($M$2:$M71,M71,$E$2:$E71,E71)=1,1,0)</f>
        <v>0</v>
      </c>
      <c r="X71" s="9">
        <v>133.88045614035087</v>
      </c>
      <c r="Y71" s="9">
        <v>0.70145836465378664</v>
      </c>
      <c r="Z71" s="9" t="str">
        <f>IF(COUNTIF(K$2:K71,K71)=1,SUMIF(K:K,K71,H:H)/SUMIF(K:K,K71,W:W),"")</f>
        <v/>
      </c>
      <c r="AA71" s="9" t="str">
        <f>IF(COUNTIF($M$2:M71,M71)=1, SUMIF(M:M,M71,X:X), "")</f>
        <v/>
      </c>
      <c r="AB71" s="9" t="str">
        <f>IF(COUNTIF($M$2:M71,M71)=1, SUMIF(M:M,M71,Y:Y), "")</f>
        <v/>
      </c>
    </row>
    <row r="72" spans="1:28" x14ac:dyDescent="0.35">
      <c r="A72" s="5">
        <f ca="1">IF(B72="","",COUNTA($B$2:B72))</f>
        <v>71</v>
      </c>
      <c r="B72" s="6">
        <f t="shared" ca="1" si="2"/>
        <v>46193</v>
      </c>
      <c r="C72" s="5" t="s">
        <v>244</v>
      </c>
      <c r="D72" s="5" t="s">
        <v>245</v>
      </c>
      <c r="E72" s="5" t="s">
        <v>240</v>
      </c>
      <c r="F72" s="5" t="s">
        <v>241</v>
      </c>
      <c r="G72" s="5">
        <v>78</v>
      </c>
      <c r="H72" s="7" t="str">
        <f>IF(COUNTIF($M$2:M72,M72)=1,
SUMIFS($G:$G,$M:$M,M72),
"")</f>
        <v/>
      </c>
      <c r="I72" s="7" t="str">
        <f>IF(E72&lt;&gt;E71,SUMIF(E:E,E72,X:X)," ")</f>
        <v xml:space="preserve"> </v>
      </c>
      <c r="J72" s="8" t="str">
        <f>IF(E72&lt;&gt;E71,SUMIF(E:E,E72,Y:Y)," ")</f>
        <v xml:space="preserve"> </v>
      </c>
      <c r="K72" s="5" t="s">
        <v>36</v>
      </c>
      <c r="L72" s="5" t="s">
        <v>191</v>
      </c>
      <c r="O72" s="9" t="str">
        <f>IF(Q72="","",COUNTIFS($M:$M,M72,$W:$W,"1"))</f>
        <v/>
      </c>
      <c r="P72" s="9" t="s">
        <v>28</v>
      </c>
      <c r="R72" s="5" t="s">
        <v>30</v>
      </c>
      <c r="S72" s="5">
        <v>269</v>
      </c>
      <c r="T72" s="9" t="str">
        <f t="shared" si="3"/>
        <v/>
      </c>
      <c r="V72" s="5" t="str">
        <f>VLOOKUP(E72,'[1]CH DCPT CẤP HÀNG'!$B:$I,8,0)</f>
        <v>GHN</v>
      </c>
      <c r="W72" s="9">
        <f>IF(COUNTIFS($M$2:$M72,M72,$E$2:$E72,E72)=1,1,0)</f>
        <v>0</v>
      </c>
      <c r="X72" s="9">
        <v>12.512999999999998</v>
      </c>
      <c r="Y72" s="9">
        <v>8.1089141538461543E-2</v>
      </c>
      <c r="Z72" s="9" t="str">
        <f>IF(COUNTIF(K$2:K72,K72)=1,SUMIF(K:K,K72,H:H)/SUMIF(K:K,K72,W:W),"")</f>
        <v/>
      </c>
      <c r="AA72" s="9" t="str">
        <f>IF(COUNTIF($M$2:M72,M72)=1, SUMIF(M:M,M72,X:X), "")</f>
        <v/>
      </c>
      <c r="AB72" s="9" t="str">
        <f>IF(COUNTIF($M$2:M72,M72)=1, SUMIF(M:M,M72,Y:Y), "")</f>
        <v/>
      </c>
    </row>
    <row r="73" spans="1:28" x14ac:dyDescent="0.35">
      <c r="A73" s="5">
        <f ca="1">IF(B73="","",COUNTA($B$2:B73))</f>
        <v>72</v>
      </c>
      <c r="B73" s="6">
        <f t="shared" ca="1" si="2"/>
        <v>46193</v>
      </c>
      <c r="C73" s="5" t="s">
        <v>246</v>
      </c>
      <c r="D73" s="5" t="s">
        <v>247</v>
      </c>
      <c r="E73" s="5" t="s">
        <v>240</v>
      </c>
      <c r="F73" s="5" t="s">
        <v>241</v>
      </c>
      <c r="G73" s="5">
        <v>426</v>
      </c>
      <c r="H73" s="7" t="str">
        <f>IF(COUNTIF($M$2:M73,M73)=1,
SUMIFS($G:$G,$M:$M,M73),
"")</f>
        <v/>
      </c>
      <c r="I73" s="7" t="str">
        <f>IF(E73&lt;&gt;E72,SUMIF(E:E,E73,X:X)," ")</f>
        <v xml:space="preserve"> </v>
      </c>
      <c r="J73" s="8" t="str">
        <f>IF(E73&lt;&gt;E72,SUMIF(E:E,E73,Y:Y)," ")</f>
        <v xml:space="preserve"> </v>
      </c>
      <c r="K73" s="5" t="s">
        <v>36</v>
      </c>
      <c r="L73" s="5" t="s">
        <v>191</v>
      </c>
      <c r="O73" s="9" t="str">
        <f>IF(Q73="","",COUNTIFS($M:$M,M73,$W:$W,"1"))</f>
        <v/>
      </c>
      <c r="P73" s="9" t="s">
        <v>28</v>
      </c>
      <c r="R73" s="5" t="s">
        <v>30</v>
      </c>
      <c r="S73" s="5">
        <v>269</v>
      </c>
      <c r="T73" s="9" t="str">
        <f t="shared" si="3"/>
        <v/>
      </c>
      <c r="V73" s="5" t="str">
        <f>VLOOKUP(E73,'[1]CH DCPT CẤP HÀNG'!$B:$I,8,0)</f>
        <v>GHN</v>
      </c>
      <c r="W73" s="9">
        <f>IF(COUNTIFS($M$2:$M73,M73,$E$2:$E73,E73)=1,1,0)</f>
        <v>0</v>
      </c>
      <c r="X73" s="9">
        <v>171.1181818181818</v>
      </c>
      <c r="Y73" s="9">
        <v>0.90415691260987785</v>
      </c>
      <c r="Z73" s="9" t="str">
        <f>IF(COUNTIF(K$2:K73,K73)=1,SUMIF(K:K,K73,H:H)/SUMIF(K:K,K73,W:W),"")</f>
        <v/>
      </c>
      <c r="AA73" s="9" t="str">
        <f>IF(COUNTIF($M$2:M73,M73)=1, SUMIF(M:M,M73,X:X), "")</f>
        <v/>
      </c>
      <c r="AB73" s="9" t="str">
        <f>IF(COUNTIF($M$2:M73,M73)=1, SUMIF(M:M,M73,Y:Y), "")</f>
        <v/>
      </c>
    </row>
    <row r="74" spans="1:28" x14ac:dyDescent="0.35">
      <c r="A74" s="5">
        <f ca="1">IF(B74="","",COUNTA($B$2:B74))</f>
        <v>73</v>
      </c>
      <c r="B74" s="6">
        <f t="shared" ca="1" si="2"/>
        <v>46193</v>
      </c>
      <c r="C74" s="5" t="s">
        <v>248</v>
      </c>
      <c r="D74" s="5" t="s">
        <v>249</v>
      </c>
      <c r="E74" s="5" t="s">
        <v>250</v>
      </c>
      <c r="F74" s="5" t="s">
        <v>251</v>
      </c>
      <c r="G74" s="5">
        <v>246</v>
      </c>
      <c r="H74" s="7" t="str">
        <f>IF(COUNTIF($M$2:M74,M74)=1,
SUMIFS($G:$G,$M:$M,M74),
"")</f>
        <v/>
      </c>
      <c r="I74" s="7">
        <f>IF(E74&lt;&gt;E73,SUMIF(E:E,E74,X:X)," ")</f>
        <v>404.10608727272728</v>
      </c>
      <c r="J74" s="8">
        <f>IF(E74&lt;&gt;E73,SUMIF(E:E,E74,Y:Y)," ")</f>
        <v>2.1988069617968979</v>
      </c>
      <c r="K74" s="5" t="s">
        <v>36</v>
      </c>
      <c r="L74" s="5" t="s">
        <v>191</v>
      </c>
      <c r="O74" s="9" t="str">
        <f>IF(Q74="","",COUNTIFS($M:$M,M74,$W:$W,"1"))</f>
        <v/>
      </c>
      <c r="P74" s="9" t="s">
        <v>28</v>
      </c>
      <c r="R74" s="5" t="s">
        <v>30</v>
      </c>
      <c r="S74" s="5">
        <v>270</v>
      </c>
      <c r="T74" s="9" t="str">
        <f t="shared" si="3"/>
        <v/>
      </c>
      <c r="V74" s="5" t="str">
        <f>VLOOKUP(E74,'[1]CH DCPT CẤP HÀNG'!$B:$I,8,0)</f>
        <v>GHN</v>
      </c>
      <c r="W74" s="9">
        <f>IF(COUNTIFS($M$2:$M74,M74,$E$2:$E74,E74)=1,1,0)</f>
        <v>0</v>
      </c>
      <c r="X74" s="9">
        <v>88.239999999999981</v>
      </c>
      <c r="Y74" s="9">
        <v>0.53320280319024527</v>
      </c>
      <c r="Z74" s="9" t="str">
        <f>IF(COUNTIF(K$2:K74,K74)=1,SUMIF(K:K,K74,H:H)/SUMIF(K:K,K74,W:W),"")</f>
        <v/>
      </c>
      <c r="AA74" s="9" t="str">
        <f>IF(COUNTIF($M$2:M74,M74)=1, SUMIF(M:M,M74,X:X), "")</f>
        <v/>
      </c>
      <c r="AB74" s="9" t="str">
        <f>IF(COUNTIF($M$2:M74,M74)=1, SUMIF(M:M,M74,Y:Y), "")</f>
        <v/>
      </c>
    </row>
    <row r="75" spans="1:28" x14ac:dyDescent="0.35">
      <c r="A75" s="5">
        <f ca="1">IF(B75="","",COUNTA($B$2:B75))</f>
        <v>74</v>
      </c>
      <c r="B75" s="6">
        <f t="shared" ca="1" si="2"/>
        <v>46193</v>
      </c>
      <c r="C75" s="5" t="s">
        <v>252</v>
      </c>
      <c r="D75" s="5" t="s">
        <v>253</v>
      </c>
      <c r="E75" s="5" t="s">
        <v>250</v>
      </c>
      <c r="F75" s="5" t="s">
        <v>251</v>
      </c>
      <c r="G75" s="5">
        <v>200</v>
      </c>
      <c r="H75" s="7" t="str">
        <f>IF(COUNTIF($M$2:M75,M75)=1,
SUMIFS($G:$G,$M:$M,M75),
"")</f>
        <v/>
      </c>
      <c r="I75" s="7" t="str">
        <f>IF(E75&lt;&gt;E74,SUMIF(E:E,E75,X:X)," ")</f>
        <v xml:space="preserve"> </v>
      </c>
      <c r="J75" s="8" t="str">
        <f>IF(E75&lt;&gt;E74,SUMIF(E:E,E75,Y:Y)," ")</f>
        <v xml:space="preserve"> </v>
      </c>
      <c r="K75" s="5" t="s">
        <v>36</v>
      </c>
      <c r="L75" s="5" t="s">
        <v>191</v>
      </c>
      <c r="O75" s="9" t="str">
        <f>IF(Q75="","",COUNTIFS($M:$M,M75,$W:$W,"1"))</f>
        <v/>
      </c>
      <c r="P75" s="9" t="s">
        <v>28</v>
      </c>
      <c r="R75" s="5" t="s">
        <v>30</v>
      </c>
      <c r="S75" s="5">
        <v>270</v>
      </c>
      <c r="T75" s="9" t="str">
        <f t="shared" si="3"/>
        <v/>
      </c>
      <c r="V75" s="5" t="str">
        <f>VLOOKUP(E75,'[1]CH DCPT CẤP HÀNG'!$B:$I,8,0)</f>
        <v>GHN</v>
      </c>
      <c r="W75" s="9">
        <f>IF(COUNTIFS($M$2:$M75,M75,$E$2:$E75,E75)=1,1,0)</f>
        <v>0</v>
      </c>
      <c r="X75" s="9">
        <v>174.25135999999998</v>
      </c>
      <c r="Y75" s="9">
        <v>0.9605365949813518</v>
      </c>
      <c r="Z75" s="9" t="str">
        <f>IF(COUNTIF(K$2:K75,K75)=1,SUMIF(K:K,K75,H:H)/SUMIF(K:K,K75,W:W),"")</f>
        <v/>
      </c>
      <c r="AA75" s="9" t="str">
        <f>IF(COUNTIF($M$2:M75,M75)=1, SUMIF(M:M,M75,X:X), "")</f>
        <v/>
      </c>
      <c r="AB75" s="9" t="str">
        <f>IF(COUNTIF($M$2:M75,M75)=1, SUMIF(M:M,M75,Y:Y), "")</f>
        <v/>
      </c>
    </row>
    <row r="76" spans="1:28" x14ac:dyDescent="0.35">
      <c r="A76" s="5">
        <f ca="1">IF(B76="","",COUNTA($B$2:B76))</f>
        <v>75</v>
      </c>
      <c r="B76" s="6">
        <f t="shared" ca="1" si="2"/>
        <v>46193</v>
      </c>
      <c r="C76" s="5" t="s">
        <v>254</v>
      </c>
      <c r="D76" s="5" t="s">
        <v>255</v>
      </c>
      <c r="E76" s="5" t="s">
        <v>250</v>
      </c>
      <c r="F76" s="5" t="s">
        <v>251</v>
      </c>
      <c r="G76" s="5">
        <v>108</v>
      </c>
      <c r="H76" s="7" t="str">
        <f>IF(COUNTIF($M$2:M76,M76)=1,
SUMIFS($G:$G,$M:$M,M76),
"")</f>
        <v/>
      </c>
      <c r="I76" s="7" t="str">
        <f>IF(E76&lt;&gt;E75,SUMIF(E:E,E76,X:X)," ")</f>
        <v xml:space="preserve"> </v>
      </c>
      <c r="J76" s="8" t="str">
        <f>IF(E76&lt;&gt;E75,SUMIF(E:E,E76,Y:Y)," ")</f>
        <v xml:space="preserve"> </v>
      </c>
      <c r="K76" s="5" t="s">
        <v>36</v>
      </c>
      <c r="L76" s="5" t="s">
        <v>191</v>
      </c>
      <c r="O76" s="9" t="str">
        <f>IF(Q76="","",COUNTIFS($M:$M,M76,$W:$W,"1"))</f>
        <v/>
      </c>
      <c r="P76" s="9" t="s">
        <v>28</v>
      </c>
      <c r="R76" s="5" t="s">
        <v>30</v>
      </c>
      <c r="S76" s="5">
        <v>270</v>
      </c>
      <c r="T76" s="9" t="str">
        <f t="shared" si="3"/>
        <v/>
      </c>
      <c r="V76" s="5" t="str">
        <f>VLOOKUP(E76,'[1]CH DCPT CẤP HÀNG'!$B:$I,8,0)</f>
        <v>GHN</v>
      </c>
      <c r="W76" s="9">
        <f>IF(COUNTIFS($M$2:$M76,M76,$E$2:$E76,E76)=1,1,0)</f>
        <v>0</v>
      </c>
      <c r="X76" s="9">
        <v>22.242000000000004</v>
      </c>
      <c r="Y76" s="9">
        <v>4.8982153846153842E-2</v>
      </c>
      <c r="Z76" s="9" t="str">
        <f>IF(COUNTIF(K$2:K76,K76)=1,SUMIF(K:K,K76,H:H)/SUMIF(K:K,K76,W:W),"")</f>
        <v/>
      </c>
      <c r="AA76" s="9" t="str">
        <f>IF(COUNTIF($M$2:M76,M76)=1, SUMIF(M:M,M76,X:X), "")</f>
        <v/>
      </c>
      <c r="AB76" s="9" t="str">
        <f>IF(COUNTIF($M$2:M76,M76)=1, SUMIF(M:M,M76,Y:Y), "")</f>
        <v/>
      </c>
    </row>
    <row r="77" spans="1:28" x14ac:dyDescent="0.35">
      <c r="A77" s="5">
        <f ca="1">IF(B77="","",COUNTA($B$2:B77))</f>
        <v>76</v>
      </c>
      <c r="B77" s="6">
        <f t="shared" ca="1" si="2"/>
        <v>46193</v>
      </c>
      <c r="C77" s="5" t="s">
        <v>256</v>
      </c>
      <c r="D77" s="5" t="s">
        <v>257</v>
      </c>
      <c r="E77" s="5" t="s">
        <v>250</v>
      </c>
      <c r="F77" s="5" t="s">
        <v>251</v>
      </c>
      <c r="G77" s="5">
        <v>278</v>
      </c>
      <c r="H77" s="7" t="str">
        <f>IF(COUNTIF($M$2:M77,M77)=1,
SUMIFS($G:$G,$M:$M,M77),
"")</f>
        <v/>
      </c>
      <c r="I77" s="7" t="str">
        <f>IF(E77&lt;&gt;E76,SUMIF(E:E,E77,X:X)," ")</f>
        <v xml:space="preserve"> </v>
      </c>
      <c r="J77" s="8" t="str">
        <f>IF(E77&lt;&gt;E76,SUMIF(E:E,E77,Y:Y)," ")</f>
        <v xml:space="preserve"> </v>
      </c>
      <c r="K77" s="5" t="s">
        <v>36</v>
      </c>
      <c r="L77" s="5" t="s">
        <v>191</v>
      </c>
      <c r="O77" s="9" t="str">
        <f>IF(Q77="","",COUNTIFS($M:$M,M77,$W:$W,"1"))</f>
        <v/>
      </c>
      <c r="P77" s="9" t="s">
        <v>28</v>
      </c>
      <c r="R77" s="5" t="s">
        <v>30</v>
      </c>
      <c r="S77" s="5">
        <v>270</v>
      </c>
      <c r="T77" s="9" t="str">
        <f t="shared" si="3"/>
        <v/>
      </c>
      <c r="V77" s="5" t="str">
        <f>VLOOKUP(E77,'[1]CH DCPT CẤP HÀNG'!$B:$I,8,0)</f>
        <v>GHN</v>
      </c>
      <c r="W77" s="9">
        <f>IF(COUNTIFS($M$2:$M77,M77,$E$2:$E77,E77)=1,1,0)</f>
        <v>0</v>
      </c>
      <c r="X77" s="9">
        <v>119.37272727272727</v>
      </c>
      <c r="Y77" s="9">
        <v>0.65608540977914687</v>
      </c>
      <c r="Z77" s="9" t="str">
        <f>IF(COUNTIF(K$2:K77,K77)=1,SUMIF(K:K,K77,H:H)/SUMIF(K:K,K77,W:W),"")</f>
        <v/>
      </c>
      <c r="AA77" s="9" t="str">
        <f>IF(COUNTIF($M$2:M77,M77)=1, SUMIF(M:M,M77,X:X), "")</f>
        <v/>
      </c>
      <c r="AB77" s="9" t="str">
        <f>IF(COUNTIF($M$2:M77,M77)=1, SUMIF(M:M,M77,Y:Y), "")</f>
        <v/>
      </c>
    </row>
    <row r="78" spans="1:28" x14ac:dyDescent="0.35">
      <c r="A78" s="5">
        <f ca="1">IF(B78="","",COUNTA($B$2:B78))</f>
        <v>77</v>
      </c>
      <c r="B78" s="6">
        <f t="shared" ca="1" si="2"/>
        <v>46193</v>
      </c>
      <c r="C78" s="5" t="s">
        <v>258</v>
      </c>
      <c r="D78" s="5" t="s">
        <v>259</v>
      </c>
      <c r="E78" s="5" t="s">
        <v>260</v>
      </c>
      <c r="F78" s="5" t="s">
        <v>261</v>
      </c>
      <c r="G78" s="5">
        <v>136</v>
      </c>
      <c r="H78" s="7" t="str">
        <f>IF(COUNTIF($M$2:M78,M78)=1,
SUMIFS($G:$G,$M:$M,M78),
"")</f>
        <v/>
      </c>
      <c r="I78" s="7">
        <f>IF(E78&lt;&gt;E77,SUMIF(E:E,E78,X:X)," ")</f>
        <v>220.4977607655502</v>
      </c>
      <c r="J78" s="8">
        <f>IF(E78&lt;&gt;E77,SUMIF(E:E,E78,Y:Y)," ")</f>
        <v>1.3284440073791088</v>
      </c>
      <c r="K78" s="5" t="s">
        <v>36</v>
      </c>
      <c r="L78" s="5" t="s">
        <v>191</v>
      </c>
      <c r="O78" s="9" t="str">
        <f>IF(Q78="","",COUNTIFS($M:$M,M78,$W:$W,"1"))</f>
        <v/>
      </c>
      <c r="P78" s="9" t="s">
        <v>28</v>
      </c>
      <c r="R78" s="5" t="s">
        <v>30</v>
      </c>
      <c r="S78" s="5">
        <v>271</v>
      </c>
      <c r="T78" s="9" t="str">
        <f t="shared" si="3"/>
        <v/>
      </c>
      <c r="V78" s="5" t="str">
        <f>VLOOKUP(E78,'[1]CH DCPT CẤP HÀNG'!$B:$I,8,0)</f>
        <v>GHN</v>
      </c>
      <c r="W78" s="9">
        <f>IF(COUNTIFS($M$2:$M78,M78,$E$2:$E78,E78)=1,1,0)</f>
        <v>0</v>
      </c>
      <c r="X78" s="9">
        <v>81.584378947368421</v>
      </c>
      <c r="Y78" s="9">
        <v>0.47119994092307688</v>
      </c>
      <c r="Z78" s="9" t="str">
        <f>IF(COUNTIF(K$2:K78,K78)=1,SUMIF(K:K,K78,H:H)/SUMIF(K:K,K78,W:W),"")</f>
        <v/>
      </c>
      <c r="AA78" s="9" t="str">
        <f>IF(COUNTIF($M$2:M78,M78)=1, SUMIF(M:M,M78,X:X), "")</f>
        <v/>
      </c>
      <c r="AB78" s="9" t="str">
        <f>IF(COUNTIF($M$2:M78,M78)=1, SUMIF(M:M,M78,Y:Y), "")</f>
        <v/>
      </c>
    </row>
    <row r="79" spans="1:28" x14ac:dyDescent="0.35">
      <c r="A79" s="5">
        <f ca="1">IF(B79="","",COUNTA($B$2:B79))</f>
        <v>78</v>
      </c>
      <c r="B79" s="6">
        <f t="shared" ca="1" si="2"/>
        <v>46193</v>
      </c>
      <c r="C79" s="5" t="s">
        <v>262</v>
      </c>
      <c r="D79" s="5" t="s">
        <v>263</v>
      </c>
      <c r="E79" s="5" t="s">
        <v>260</v>
      </c>
      <c r="F79" s="5" t="s">
        <v>261</v>
      </c>
      <c r="G79" s="5">
        <v>426</v>
      </c>
      <c r="H79" s="7" t="str">
        <f>IF(COUNTIF($M$2:M79,M79)=1,
SUMIFS($G:$G,$M:$M,M79),
"")</f>
        <v/>
      </c>
      <c r="I79" s="7" t="str">
        <f>IF(E79&lt;&gt;E78,SUMIF(E:E,E79,X:X)," ")</f>
        <v xml:space="preserve"> </v>
      </c>
      <c r="J79" s="8" t="str">
        <f>IF(E79&lt;&gt;E78,SUMIF(E:E,E79,Y:Y)," ")</f>
        <v xml:space="preserve"> </v>
      </c>
      <c r="K79" s="5" t="s">
        <v>36</v>
      </c>
      <c r="L79" s="5" t="s">
        <v>191</v>
      </c>
      <c r="O79" s="9" t="str">
        <f>IF(Q79="","",COUNTIFS($M:$M,M79,$W:$W,"1"))</f>
        <v/>
      </c>
      <c r="P79" s="9" t="s">
        <v>28</v>
      </c>
      <c r="R79" s="5" t="s">
        <v>30</v>
      </c>
      <c r="S79" s="5">
        <v>271</v>
      </c>
      <c r="T79" s="9" t="str">
        <f t="shared" si="3"/>
        <v/>
      </c>
      <c r="V79" s="5" t="str">
        <f>VLOOKUP(E79,'[1]CH DCPT CẤP HÀNG'!$B:$I,8,0)</f>
        <v>GHN</v>
      </c>
      <c r="W79" s="9">
        <f>IF(COUNTIFS($M$2:$M79,M79,$E$2:$E79,E79)=1,1,0)</f>
        <v>0</v>
      </c>
      <c r="X79" s="9">
        <v>138.91338181818179</v>
      </c>
      <c r="Y79" s="9">
        <v>0.85724406645603191</v>
      </c>
      <c r="Z79" s="9" t="str">
        <f>IF(COUNTIF(K$2:K79,K79)=1,SUMIF(K:K,K79,H:H)/SUMIF(K:K,K79,W:W),"")</f>
        <v/>
      </c>
      <c r="AA79" s="9" t="str">
        <f>IF(COUNTIF($M$2:M79,M79)=1, SUMIF(M:M,M79,X:X), "")</f>
        <v/>
      </c>
      <c r="AB79" s="9" t="str">
        <f>IF(COUNTIF($M$2:M79,M79)=1, SUMIF(M:M,M79,Y:Y), "")</f>
        <v/>
      </c>
    </row>
    <row r="80" spans="1:28" x14ac:dyDescent="0.35">
      <c r="A80" s="5">
        <f ca="1">IF(B80="","",COUNTA($B$2:B80))</f>
        <v>79</v>
      </c>
      <c r="B80" s="6">
        <f t="shared" ref="B80:B97" ca="1" si="4">TODAY()+1</f>
        <v>46193</v>
      </c>
      <c r="C80" s="5" t="s">
        <v>264</v>
      </c>
      <c r="D80" s="5" t="s">
        <v>265</v>
      </c>
      <c r="E80" s="5" t="s">
        <v>266</v>
      </c>
      <c r="F80" s="5" t="s">
        <v>267</v>
      </c>
      <c r="G80" s="5">
        <v>74</v>
      </c>
      <c r="H80" s="7" t="str">
        <f>IF(COUNTIF($M$2:M80,M80)=1,
SUMIFS($G:$G,$M:$M,M80),
"")</f>
        <v/>
      </c>
      <c r="I80" s="7" t="e">
        <f>IF(E80&lt;&gt;#REF!,SUMIF(E:E,E80,X:X)," ")</f>
        <v>#REF!</v>
      </c>
      <c r="J80" s="8" t="e">
        <f>IF(E80&lt;&gt;#REF!,SUMIF(E:E,E80,Y:Y)," ")</f>
        <v>#REF!</v>
      </c>
      <c r="K80" s="5" t="s">
        <v>36</v>
      </c>
      <c r="L80" s="5" t="s">
        <v>268</v>
      </c>
      <c r="O80" s="9" t="str">
        <f>IF(Q80="","",COUNTIFS($M:$M,M80,$W:$W,"1"))</f>
        <v/>
      </c>
      <c r="P80" s="9" t="s">
        <v>28</v>
      </c>
      <c r="R80" s="5" t="s">
        <v>30</v>
      </c>
      <c r="S80" s="5">
        <v>311</v>
      </c>
      <c r="T80" s="9" t="str">
        <f t="shared" ref="T80:T97" si="5">IF(OR(Q80="", M80="", N80=""), "", "LOT SAU KHOẢNG " &amp; TEXT(IF(Q80=5, N80+TIME(2,0,0), IF(OR(Q80=7, Q80=8), N80+TIME(2,48,0), IF(Q80=10, N80+TIME(3,48,0), N80))), "hh:mm"))</f>
        <v/>
      </c>
      <c r="V80" s="5" t="str">
        <f>VLOOKUP(E80,'[1]CH DCPT CẤP HÀNG'!$B:$I,8,0)</f>
        <v>GHN</v>
      </c>
      <c r="W80" s="9">
        <f>IF(COUNTIFS($M$2:$M80,M80,$E$2:$E80,E80)=1,1,0)</f>
        <v>0</v>
      </c>
      <c r="X80" s="9">
        <v>54.703122807017536</v>
      </c>
      <c r="Y80" s="9">
        <v>0.25951048153846157</v>
      </c>
      <c r="Z80" s="9" t="str">
        <f>IF(COUNTIF(K$2:K80,K80)=1,SUMIF(K:K,K80,H:H)/SUMIF(K:K,K80,W:W),"")</f>
        <v/>
      </c>
      <c r="AA80" s="9" t="str">
        <f>IF(COUNTIF($M$2:M80,M80)=1, SUMIF(M:M,M80,X:X), "")</f>
        <v/>
      </c>
      <c r="AB80" s="9" t="str">
        <f>IF(COUNTIF($M$2:M80,M80)=1, SUMIF(M:M,M80,Y:Y), "")</f>
        <v/>
      </c>
    </row>
    <row r="81" spans="1:28" x14ac:dyDescent="0.35">
      <c r="A81" s="5">
        <f ca="1">IF(B81="","",COUNTA($B$2:B81))</f>
        <v>80</v>
      </c>
      <c r="B81" s="6">
        <f t="shared" ca="1" si="4"/>
        <v>46193</v>
      </c>
      <c r="C81" s="5" t="s">
        <v>269</v>
      </c>
      <c r="D81" s="5" t="s">
        <v>270</v>
      </c>
      <c r="E81" s="5" t="s">
        <v>266</v>
      </c>
      <c r="F81" s="5" t="s">
        <v>267</v>
      </c>
      <c r="G81" s="5">
        <v>220</v>
      </c>
      <c r="H81" s="7" t="str">
        <f>IF(COUNTIF($M$2:M81,M81)=1,
SUMIFS($G:$G,$M:$M,M81),
"")</f>
        <v/>
      </c>
      <c r="I81" s="7" t="str">
        <f>IF(E81&lt;&gt;E80,SUMIF(E:E,E81,X:X)," ")</f>
        <v xml:space="preserve"> </v>
      </c>
      <c r="J81" s="8" t="str">
        <f>IF(E81&lt;&gt;E80,SUMIF(E:E,E81,Y:Y)," ")</f>
        <v xml:space="preserve"> </v>
      </c>
      <c r="K81" s="5" t="s">
        <v>36</v>
      </c>
      <c r="L81" s="5" t="s">
        <v>268</v>
      </c>
      <c r="O81" s="9" t="str">
        <f>IF(Q81="","",COUNTIFS($M:$M,M81,$W:$W,"1"))</f>
        <v/>
      </c>
      <c r="P81" s="9" t="s">
        <v>28</v>
      </c>
      <c r="R81" s="5" t="s">
        <v>30</v>
      </c>
      <c r="S81" s="5">
        <v>311</v>
      </c>
      <c r="T81" s="9" t="str">
        <f t="shared" si="5"/>
        <v/>
      </c>
      <c r="V81" s="5" t="str">
        <f>VLOOKUP(E81,'[1]CH DCPT CẤP HÀNG'!$B:$I,8,0)</f>
        <v>GHN</v>
      </c>
      <c r="W81" s="9">
        <f>IF(COUNTIFS($M$2:$M81,M81,$E$2:$E81,E81)=1,1,0)</f>
        <v>0</v>
      </c>
      <c r="X81" s="9">
        <v>124.21309090909091</v>
      </c>
      <c r="Y81" s="9">
        <v>0.47675888772030456</v>
      </c>
      <c r="Z81" s="9" t="str">
        <f>IF(COUNTIF(K$2:K81,K81)=1,SUMIF(K:K,K81,H:H)/SUMIF(K:K,K81,W:W),"")</f>
        <v/>
      </c>
      <c r="AA81" s="9" t="str">
        <f>IF(COUNTIF($M$2:M81,M81)=1, SUMIF(M:M,M81,X:X), "")</f>
        <v/>
      </c>
      <c r="AB81" s="9" t="str">
        <f>IF(COUNTIF($M$2:M81,M81)=1, SUMIF(M:M,M81,Y:Y), "")</f>
        <v/>
      </c>
    </row>
    <row r="82" spans="1:28" x14ac:dyDescent="0.35">
      <c r="A82" s="5">
        <f ca="1">IF(B82="","",COUNTA($B$2:B82))</f>
        <v>81</v>
      </c>
      <c r="B82" s="6">
        <f t="shared" ca="1" si="4"/>
        <v>46193</v>
      </c>
      <c r="C82" s="5" t="s">
        <v>271</v>
      </c>
      <c r="D82" s="5" t="s">
        <v>272</v>
      </c>
      <c r="E82" s="5" t="s">
        <v>273</v>
      </c>
      <c r="F82" s="5" t="s">
        <v>274</v>
      </c>
      <c r="G82" s="5">
        <v>168</v>
      </c>
      <c r="H82" s="7" t="str">
        <f>IF(COUNTIF($M$2:M82,M82)=1,
SUMIFS($G:$G,$M:$M,M82),
"")</f>
        <v/>
      </c>
      <c r="I82" s="7">
        <f>IF(E82&lt;&gt;E81,SUMIF(E:E,E82,X:X)," ")</f>
        <v>191.62109409888356</v>
      </c>
      <c r="J82" s="8">
        <f>IF(E82&lt;&gt;E81,SUMIF(E:E,E82,Y:Y)," ")</f>
        <v>1.1915896746908325</v>
      </c>
      <c r="K82" s="5" t="s">
        <v>36</v>
      </c>
      <c r="L82" s="5" t="s">
        <v>268</v>
      </c>
      <c r="O82" s="9" t="str">
        <f>IF(Q82="","",COUNTIFS($M:$M,M82,$W:$W,"1"))</f>
        <v/>
      </c>
      <c r="P82" s="9" t="s">
        <v>28</v>
      </c>
      <c r="R82" s="5" t="s">
        <v>30</v>
      </c>
      <c r="S82" s="5">
        <v>312</v>
      </c>
      <c r="T82" s="9" t="str">
        <f t="shared" si="5"/>
        <v/>
      </c>
      <c r="V82" s="5" t="str">
        <f>VLOOKUP(E82,'[1]CH DCPT CẤP HÀNG'!$B:$I,8,0)</f>
        <v>GHN</v>
      </c>
      <c r="W82" s="9">
        <f>IF(COUNTIFS($M$2:$M82,M82,$E$2:$E82,E82)=1,1,0)</f>
        <v>0</v>
      </c>
      <c r="X82" s="9">
        <v>100.10291228070174</v>
      </c>
      <c r="Y82" s="9">
        <v>0.5239519390320283</v>
      </c>
      <c r="Z82" s="9" t="str">
        <f>IF(COUNTIF(K$2:K82,K82)=1,SUMIF(K:K,K82,H:H)/SUMIF(K:K,K82,W:W),"")</f>
        <v/>
      </c>
      <c r="AA82" s="9" t="str">
        <f>IF(COUNTIF($M$2:M82,M82)=1, SUMIF(M:M,M82,X:X), "")</f>
        <v/>
      </c>
      <c r="AB82" s="9" t="str">
        <f>IF(COUNTIF($M$2:M82,M82)=1, SUMIF(M:M,M82,Y:Y), "")</f>
        <v/>
      </c>
    </row>
    <row r="83" spans="1:28" x14ac:dyDescent="0.35">
      <c r="A83" s="5">
        <f ca="1">IF(B83="","",COUNTA($B$2:B83))</f>
        <v>82</v>
      </c>
      <c r="B83" s="6">
        <f t="shared" ca="1" si="4"/>
        <v>46193</v>
      </c>
      <c r="C83" s="5" t="s">
        <v>275</v>
      </c>
      <c r="D83" s="5" t="s">
        <v>276</v>
      </c>
      <c r="E83" s="5" t="s">
        <v>273</v>
      </c>
      <c r="F83" s="5" t="s">
        <v>274</v>
      </c>
      <c r="G83" s="5">
        <v>256</v>
      </c>
      <c r="H83" s="7" t="str">
        <f>IF(COUNTIF($M$2:M83,M83)=1,
SUMIFS($G:$G,$M:$M,M83),
"")</f>
        <v/>
      </c>
      <c r="I83" s="7" t="str">
        <f>IF(E83&lt;&gt;E82,SUMIF(E:E,E83,X:X)," ")</f>
        <v xml:space="preserve"> </v>
      </c>
      <c r="J83" s="8" t="str">
        <f>IF(E83&lt;&gt;E82,SUMIF(E:E,E83,Y:Y)," ")</f>
        <v xml:space="preserve"> </v>
      </c>
      <c r="K83" s="5" t="s">
        <v>36</v>
      </c>
      <c r="L83" s="5" t="s">
        <v>268</v>
      </c>
      <c r="O83" s="9" t="str">
        <f>IF(Q83="","",COUNTIFS($M:$M,M83,$W:$W,"1"))</f>
        <v/>
      </c>
      <c r="P83" s="9" t="s">
        <v>28</v>
      </c>
      <c r="R83" s="5" t="s">
        <v>30</v>
      </c>
      <c r="S83" s="5">
        <v>312</v>
      </c>
      <c r="T83" s="9" t="str">
        <f t="shared" si="5"/>
        <v/>
      </c>
      <c r="V83" s="5" t="str">
        <f>VLOOKUP(E83,'[1]CH DCPT CẤP HÀNG'!$B:$I,8,0)</f>
        <v>GHN</v>
      </c>
      <c r="W83" s="9">
        <f>IF(COUNTIFS($M$2:$M83,M83,$E$2:$E83,E83)=1,1,0)</f>
        <v>0</v>
      </c>
      <c r="X83" s="9">
        <v>91.518181818181816</v>
      </c>
      <c r="Y83" s="9">
        <v>0.66763773565880413</v>
      </c>
      <c r="Z83" s="9" t="str">
        <f>IF(COUNTIF(K$2:K83,K83)=1,SUMIF(K:K,K83,H:H)/SUMIF(K:K,K83,W:W),"")</f>
        <v/>
      </c>
      <c r="AA83" s="9" t="str">
        <f>IF(COUNTIF($M$2:M83,M83)=1, SUMIF(M:M,M83,X:X), "")</f>
        <v/>
      </c>
      <c r="AB83" s="9" t="str">
        <f>IF(COUNTIF($M$2:M83,M83)=1, SUMIF(M:M,M83,Y:Y), "")</f>
        <v/>
      </c>
    </row>
    <row r="84" spans="1:28" x14ac:dyDescent="0.35">
      <c r="A84" s="5">
        <f ca="1">IF(B84="","",COUNTA($B$2:B84))</f>
        <v>83</v>
      </c>
      <c r="B84" s="6">
        <f t="shared" ca="1" si="4"/>
        <v>46193</v>
      </c>
      <c r="C84" s="5" t="s">
        <v>277</v>
      </c>
      <c r="D84" s="5" t="s">
        <v>278</v>
      </c>
      <c r="E84" s="5" t="s">
        <v>279</v>
      </c>
      <c r="F84" s="5" t="s">
        <v>280</v>
      </c>
      <c r="G84" s="5">
        <v>110</v>
      </c>
      <c r="H84" s="7" t="str">
        <f>IF(COUNTIF($M$2:M84,M84)=1,
SUMIFS($G:$G,$M:$M,M84),
"")</f>
        <v/>
      </c>
      <c r="I84" s="7">
        <f>IF(E84&lt;&gt;E83,SUMIF(E:E,E84,X:X)," ")</f>
        <v>162.72824880382774</v>
      </c>
      <c r="J84" s="8">
        <f>IF(E84&lt;&gt;E83,SUMIF(E:E,E84,Y:Y)," ")</f>
        <v>0.96429072796649651</v>
      </c>
      <c r="K84" s="5" t="s">
        <v>36</v>
      </c>
      <c r="L84" s="5" t="s">
        <v>268</v>
      </c>
      <c r="O84" s="9" t="str">
        <f>IF(Q84="","",COUNTIFS($M:$M,M84,$W:$W,"1"))</f>
        <v/>
      </c>
      <c r="P84" s="9" t="s">
        <v>28</v>
      </c>
      <c r="R84" s="5" t="s">
        <v>30</v>
      </c>
      <c r="S84" s="5">
        <v>313</v>
      </c>
      <c r="T84" s="9" t="str">
        <f t="shared" si="5"/>
        <v/>
      </c>
      <c r="V84" s="5" t="str">
        <f>VLOOKUP(E84,'[1]CH DCPT CẤP HÀNG'!$B:$I,8,0)</f>
        <v>GHN</v>
      </c>
      <c r="W84" s="9">
        <f>IF(COUNTIFS($M$2:$M84,M84,$E$2:$E84,E84)=1,1,0)</f>
        <v>0</v>
      </c>
      <c r="X84" s="9">
        <v>74.019157894736836</v>
      </c>
      <c r="Y84" s="9">
        <v>0.43900471538461538</v>
      </c>
      <c r="Z84" s="9" t="str">
        <f>IF(COUNTIF(K$2:K84,K84)=1,SUMIF(K:K,K84,H:H)/SUMIF(K:K,K84,W:W),"")</f>
        <v/>
      </c>
      <c r="AA84" s="9" t="str">
        <f>IF(COUNTIF($M$2:M84,M84)=1, SUMIF(M:M,M84,X:X), "")</f>
        <v/>
      </c>
      <c r="AB84" s="9" t="str">
        <f>IF(COUNTIF($M$2:M84,M84)=1, SUMIF(M:M,M84,Y:Y), "")</f>
        <v/>
      </c>
    </row>
    <row r="85" spans="1:28" x14ac:dyDescent="0.35">
      <c r="A85" s="5">
        <f ca="1">IF(B85="","",COUNTA($B$2:B85))</f>
        <v>84</v>
      </c>
      <c r="B85" s="6">
        <f t="shared" ca="1" si="4"/>
        <v>46193</v>
      </c>
      <c r="C85" s="5" t="s">
        <v>281</v>
      </c>
      <c r="D85" s="5" t="s">
        <v>282</v>
      </c>
      <c r="E85" s="5" t="s">
        <v>279</v>
      </c>
      <c r="F85" s="5" t="s">
        <v>280</v>
      </c>
      <c r="G85" s="5">
        <v>316</v>
      </c>
      <c r="H85" s="7" t="str">
        <f>IF(COUNTIF($M$2:M85,M85)=1,
SUMIFS($G:$G,$M:$M,M85),
"")</f>
        <v/>
      </c>
      <c r="I85" s="7" t="str">
        <f>IF(E85&lt;&gt;E84,SUMIF(E:E,E85,X:X)," ")</f>
        <v xml:space="preserve"> </v>
      </c>
      <c r="J85" s="8" t="str">
        <f>IF(E85&lt;&gt;E84,SUMIF(E:E,E85,Y:Y)," ")</f>
        <v xml:space="preserve"> </v>
      </c>
      <c r="K85" s="5" t="s">
        <v>36</v>
      </c>
      <c r="L85" s="5" t="s">
        <v>268</v>
      </c>
      <c r="O85" s="9" t="str">
        <f>IF(Q85="","",COUNTIFS($M:$M,M85,$W:$W,"1"))</f>
        <v/>
      </c>
      <c r="P85" s="9" t="s">
        <v>28</v>
      </c>
      <c r="R85" s="5" t="s">
        <v>30</v>
      </c>
      <c r="S85" s="5">
        <v>313</v>
      </c>
      <c r="T85" s="9" t="str">
        <f t="shared" si="5"/>
        <v/>
      </c>
      <c r="V85" s="5" t="str">
        <f>VLOOKUP(E85,'[1]CH DCPT CẤP HÀNG'!$B:$I,8,0)</f>
        <v>GHN</v>
      </c>
      <c r="W85" s="9">
        <f>IF(COUNTIFS($M$2:$M85,M85,$E$2:$E85,E85)=1,1,0)</f>
        <v>0</v>
      </c>
      <c r="X85" s="9">
        <v>88.709090909090904</v>
      </c>
      <c r="Y85" s="9">
        <v>0.52528601258188112</v>
      </c>
      <c r="Z85" s="9" t="str">
        <f>IF(COUNTIF(K$2:K85,K85)=1,SUMIF(K:K,K85,H:H)/SUMIF(K:K,K85,W:W),"")</f>
        <v/>
      </c>
      <c r="AA85" s="9" t="str">
        <f>IF(COUNTIF($M$2:M85,M85)=1, SUMIF(M:M,M85,X:X), "")</f>
        <v/>
      </c>
      <c r="AB85" s="9" t="str">
        <f>IF(COUNTIF($M$2:M85,M85)=1, SUMIF(M:M,M85,Y:Y), "")</f>
        <v/>
      </c>
    </row>
    <row r="86" spans="1:28" x14ac:dyDescent="0.35">
      <c r="A86" s="5">
        <f ca="1">IF(B86="","",COUNTA($B$2:B86))</f>
        <v>85</v>
      </c>
      <c r="B86" s="6">
        <f t="shared" ca="1" si="4"/>
        <v>46193</v>
      </c>
      <c r="C86" s="5" t="s">
        <v>283</v>
      </c>
      <c r="D86" s="5" t="s">
        <v>284</v>
      </c>
      <c r="E86" s="5" t="s">
        <v>285</v>
      </c>
      <c r="F86" s="5" t="s">
        <v>286</v>
      </c>
      <c r="G86" s="5">
        <v>171</v>
      </c>
      <c r="H86" s="7" t="str">
        <f>IF(COUNTIF($M$2:M86,M86)=1,
SUMIFS($G:$G,$M:$M,M86),
"")</f>
        <v/>
      </c>
      <c r="I86" s="7">
        <f>IF(E86&lt;&gt;E85,SUMIF(E:E,E86,X:X)," ")</f>
        <v>253.26024704944177</v>
      </c>
      <c r="J86" s="8">
        <f>IF(E86&lt;&gt;E85,SUMIF(E:E,E86,Y:Y)," ")</f>
        <v>1.2287812324382268</v>
      </c>
      <c r="K86" s="5" t="s">
        <v>36</v>
      </c>
      <c r="L86" s="5" t="s">
        <v>268</v>
      </c>
      <c r="O86" s="9" t="str">
        <f>IF(Q86="","",COUNTIFS($M:$M,M86,$W:$W,"1"))</f>
        <v/>
      </c>
      <c r="P86" s="9" t="s">
        <v>28</v>
      </c>
      <c r="R86" s="5" t="s">
        <v>30</v>
      </c>
      <c r="S86" s="5">
        <v>314</v>
      </c>
      <c r="T86" s="9" t="str">
        <f t="shared" si="5"/>
        <v/>
      </c>
      <c r="V86" s="5" t="str">
        <f>VLOOKUP(E86,'[1]CH DCPT CẤP HÀNG'!$B:$I,8,0)</f>
        <v>GHN</v>
      </c>
      <c r="W86" s="9">
        <f>IF(COUNTIFS($M$2:$M86,M86,$E$2:$E86,E86)=1,1,0)</f>
        <v>0</v>
      </c>
      <c r="X86" s="9">
        <v>126.37195614035087</v>
      </c>
      <c r="Y86" s="9">
        <v>0.59828157548715299</v>
      </c>
      <c r="Z86" s="9" t="str">
        <f>IF(COUNTIF(K$2:K86,K86)=1,SUMIF(K:K,K86,H:H)/SUMIF(K:K,K86,W:W),"")</f>
        <v/>
      </c>
      <c r="AA86" s="9" t="str">
        <f>IF(COUNTIF($M$2:M86,M86)=1, SUMIF(M:M,M86,X:X), "")</f>
        <v/>
      </c>
      <c r="AB86" s="9" t="str">
        <f>IF(COUNTIF($M$2:M86,M86)=1, SUMIF(M:M,M86,Y:Y), "")</f>
        <v/>
      </c>
    </row>
    <row r="87" spans="1:28" x14ac:dyDescent="0.35">
      <c r="A87" s="5">
        <f ca="1">IF(B87="","",COUNTA($B$2:B87))</f>
        <v>86</v>
      </c>
      <c r="B87" s="6">
        <f t="shared" ca="1" si="4"/>
        <v>46193</v>
      </c>
      <c r="C87" s="5" t="s">
        <v>287</v>
      </c>
      <c r="D87" s="5" t="s">
        <v>288</v>
      </c>
      <c r="E87" s="5" t="s">
        <v>285</v>
      </c>
      <c r="F87" s="5" t="s">
        <v>286</v>
      </c>
      <c r="G87" s="5">
        <v>356</v>
      </c>
      <c r="H87" s="7" t="str">
        <f>IF(COUNTIF($M$2:M87,M87)=1,
SUMIFS($G:$G,$M:$M,M87),
"")</f>
        <v/>
      </c>
      <c r="I87" s="7" t="str">
        <f>IF(E87&lt;&gt;E86,SUMIF(E:E,E87,X:X)," ")</f>
        <v xml:space="preserve"> </v>
      </c>
      <c r="J87" s="8" t="str">
        <f>IF(E87&lt;&gt;E86,SUMIF(E:E,E87,Y:Y)," ")</f>
        <v xml:space="preserve"> </v>
      </c>
      <c r="K87" s="5" t="s">
        <v>36</v>
      </c>
      <c r="L87" s="5" t="s">
        <v>268</v>
      </c>
      <c r="O87" s="9" t="str">
        <f>IF(Q87="","",COUNTIFS($M:$M,M87,$W:$W,"1"))</f>
        <v/>
      </c>
      <c r="P87" s="9" t="s">
        <v>28</v>
      </c>
      <c r="R87" s="5" t="s">
        <v>30</v>
      </c>
      <c r="S87" s="5">
        <v>314</v>
      </c>
      <c r="T87" s="9" t="str">
        <f t="shared" si="5"/>
        <v/>
      </c>
      <c r="V87" s="5" t="str">
        <f>VLOOKUP(E87,'[1]CH DCPT CẤP HÀNG'!$B:$I,8,0)</f>
        <v>GHN</v>
      </c>
      <c r="W87" s="9">
        <f>IF(COUNTIFS($M$2:$M87,M87,$E$2:$E87,E87)=1,1,0)</f>
        <v>0</v>
      </c>
      <c r="X87" s="9">
        <v>126.8882909090909</v>
      </c>
      <c r="Y87" s="9">
        <v>0.63049965695107379</v>
      </c>
      <c r="Z87" s="9" t="str">
        <f>IF(COUNTIF(K$2:K87,K87)=1,SUMIF(K:K,K87,H:H)/SUMIF(K:K,K87,W:W),"")</f>
        <v/>
      </c>
      <c r="AA87" s="9" t="str">
        <f>IF(COUNTIF($M$2:M87,M87)=1, SUMIF(M:M,M87,X:X), "")</f>
        <v/>
      </c>
      <c r="AB87" s="9" t="str">
        <f>IF(COUNTIF($M$2:M87,M87)=1, SUMIF(M:M,M87,Y:Y), "")</f>
        <v/>
      </c>
    </row>
    <row r="88" spans="1:28" x14ac:dyDescent="0.35">
      <c r="A88" s="5">
        <f ca="1">IF(B88="","",COUNTA($B$2:B88))</f>
        <v>87</v>
      </c>
      <c r="B88" s="6">
        <f t="shared" ca="1" si="4"/>
        <v>46193</v>
      </c>
      <c r="C88" s="5" t="s">
        <v>289</v>
      </c>
      <c r="D88" s="5" t="s">
        <v>290</v>
      </c>
      <c r="E88" s="5" t="s">
        <v>291</v>
      </c>
      <c r="F88" s="5" t="s">
        <v>292</v>
      </c>
      <c r="G88" s="5">
        <v>84</v>
      </c>
      <c r="H88" s="7" t="str">
        <f>IF(COUNTIF($M$2:M88,M88)=1,
SUMIFS($G:$G,$M:$M,M88),
"")</f>
        <v/>
      </c>
      <c r="I88" s="7">
        <f>IF(E88&lt;&gt;E87,SUMIF(E:E,E88,X:X)," ")</f>
        <v>157.61949090909093</v>
      </c>
      <c r="J88" s="8">
        <f>IF(E88&lt;&gt;E87,SUMIF(E:E,E88,Y:Y)," ")</f>
        <v>0.81759787516642035</v>
      </c>
      <c r="K88" s="5" t="s">
        <v>36</v>
      </c>
      <c r="L88" s="5" t="s">
        <v>268</v>
      </c>
      <c r="O88" s="9" t="str">
        <f>IF(Q88="","",COUNTIFS($M:$M,M88,$W:$W,"1"))</f>
        <v/>
      </c>
      <c r="P88" s="9" t="s">
        <v>28</v>
      </c>
      <c r="R88" s="5" t="s">
        <v>30</v>
      </c>
      <c r="S88" s="5">
        <v>315</v>
      </c>
      <c r="T88" s="9" t="str">
        <f t="shared" si="5"/>
        <v/>
      </c>
      <c r="V88" s="5" t="str">
        <f>VLOOKUP(E88,'[1]CH DCPT CẤP HÀNG'!$B:$I,8,0)</f>
        <v>GHN</v>
      </c>
      <c r="W88" s="9">
        <f>IF(COUNTIFS($M$2:$M88,M88,$E$2:$E88,E88)=1,1,0)</f>
        <v>0</v>
      </c>
      <c r="X88" s="9">
        <v>32.710400000000007</v>
      </c>
      <c r="Y88" s="9">
        <v>0.20003103538461539</v>
      </c>
      <c r="Z88" s="9" t="str">
        <f>IF(COUNTIF(K$2:K88,K88)=1,SUMIF(K:K,K88,H:H)/SUMIF(K:K,K88,W:W),"")</f>
        <v/>
      </c>
      <c r="AA88" s="9" t="str">
        <f>IF(COUNTIF($M$2:M88,M88)=1, SUMIF(M:M,M88,X:X), "")</f>
        <v/>
      </c>
      <c r="AB88" s="9" t="str">
        <f>IF(COUNTIF($M$2:M88,M88)=1, SUMIF(M:M,M88,Y:Y), "")</f>
        <v/>
      </c>
    </row>
    <row r="89" spans="1:28" x14ac:dyDescent="0.35">
      <c r="A89" s="5">
        <f ca="1">IF(B89="","",COUNTA($B$2:B89))</f>
        <v>88</v>
      </c>
      <c r="B89" s="6">
        <f t="shared" ca="1" si="4"/>
        <v>46193</v>
      </c>
      <c r="C89" s="5" t="s">
        <v>293</v>
      </c>
      <c r="D89" s="5" t="s">
        <v>294</v>
      </c>
      <c r="E89" s="5" t="s">
        <v>291</v>
      </c>
      <c r="F89" s="5" t="s">
        <v>292</v>
      </c>
      <c r="G89" s="5">
        <v>354</v>
      </c>
      <c r="H89" s="7" t="str">
        <f>IF(COUNTIF($M$2:M89,M89)=1,
SUMIFS($G:$G,$M:$M,M89),
"")</f>
        <v/>
      </c>
      <c r="I89" s="7" t="str">
        <f>IF(E89&lt;&gt;E88,SUMIF(E:E,E89,X:X)," ")</f>
        <v xml:space="preserve"> </v>
      </c>
      <c r="J89" s="8" t="str">
        <f>IF(E89&lt;&gt;E88,SUMIF(E:E,E89,Y:Y)," ")</f>
        <v xml:space="preserve"> </v>
      </c>
      <c r="K89" s="5" t="s">
        <v>36</v>
      </c>
      <c r="L89" s="5" t="s">
        <v>268</v>
      </c>
      <c r="O89" s="9" t="str">
        <f>IF(Q89="","",COUNTIFS($M:$M,M89,$W:$W,"1"))</f>
        <v/>
      </c>
      <c r="P89" s="9" t="s">
        <v>28</v>
      </c>
      <c r="R89" s="5" t="s">
        <v>30</v>
      </c>
      <c r="S89" s="5">
        <v>315</v>
      </c>
      <c r="T89" s="9" t="str">
        <f t="shared" si="5"/>
        <v/>
      </c>
      <c r="V89" s="5" t="str">
        <f>VLOOKUP(E89,'[1]CH DCPT CẤP HÀNG'!$B:$I,8,0)</f>
        <v>GHN</v>
      </c>
      <c r="W89" s="9">
        <f>IF(COUNTIFS($M$2:$M89,M89,$E$2:$E89,E89)=1,1,0)</f>
        <v>0</v>
      </c>
      <c r="X89" s="9">
        <v>124.90909090909091</v>
      </c>
      <c r="Y89" s="9">
        <v>0.61756683978180493</v>
      </c>
      <c r="Z89" s="9" t="str">
        <f>IF(COUNTIF(K$2:K89,K89)=1,SUMIF(K:K,K89,H:H)/SUMIF(K:K,K89,W:W),"")</f>
        <v/>
      </c>
      <c r="AA89" s="9" t="str">
        <f>IF(COUNTIF($M$2:M89,M89)=1, SUMIF(M:M,M89,X:X), "")</f>
        <v/>
      </c>
      <c r="AB89" s="9" t="str">
        <f>IF(COUNTIF($M$2:M89,M89)=1, SUMIF(M:M,M89,Y:Y), "")</f>
        <v/>
      </c>
    </row>
    <row r="90" spans="1:28" x14ac:dyDescent="0.35">
      <c r="A90" s="5">
        <f ca="1">IF(B90="","",COUNTA($B$2:B90))</f>
        <v>89</v>
      </c>
      <c r="B90" s="6">
        <f t="shared" ca="1" si="4"/>
        <v>46193</v>
      </c>
      <c r="C90" s="5" t="s">
        <v>295</v>
      </c>
      <c r="D90" s="5" t="s">
        <v>296</v>
      </c>
      <c r="E90" s="5" t="s">
        <v>297</v>
      </c>
      <c r="F90" s="5" t="s">
        <v>298</v>
      </c>
      <c r="G90" s="5">
        <v>140</v>
      </c>
      <c r="H90" s="7" t="str">
        <f>IF(COUNTIF($M$2:M90,M90)=1,
SUMIFS($G:$G,$M:$M,M90),
"")</f>
        <v/>
      </c>
      <c r="I90" s="7">
        <f>IF(E90&lt;&gt;E89,SUMIF(E:E,E90,X:X)," ")</f>
        <v>286.3049435406698</v>
      </c>
      <c r="J90" s="8">
        <f>IF(E90&lt;&gt;E89,SUMIF(E:E,E90,Y:Y)," ")</f>
        <v>1.1744567165125543</v>
      </c>
      <c r="K90" s="5" t="s">
        <v>36</v>
      </c>
      <c r="L90" s="5" t="s">
        <v>268</v>
      </c>
      <c r="O90" s="9" t="str">
        <f>IF(Q90="","",COUNTIFS($M:$M,M90,$W:$W,"1"))</f>
        <v/>
      </c>
      <c r="P90" s="9" t="s">
        <v>28</v>
      </c>
      <c r="R90" s="5" t="s">
        <v>30</v>
      </c>
      <c r="S90" s="5">
        <v>316</v>
      </c>
      <c r="T90" s="9" t="str">
        <f t="shared" si="5"/>
        <v/>
      </c>
      <c r="V90" s="5" t="str">
        <f>VLOOKUP(E90,'[1]CH DCPT CẤP HÀNG'!$B:$I,8,0)</f>
        <v>GHN</v>
      </c>
      <c r="W90" s="9">
        <f>IF(COUNTIFS($M$2:$M90,M90,$E$2:$E90,E90)=1,1,0)</f>
        <v>0</v>
      </c>
      <c r="X90" s="9">
        <v>109.59585263157894</v>
      </c>
      <c r="Y90" s="9">
        <v>0.5517391271922879</v>
      </c>
      <c r="Z90" s="9" t="str">
        <f>IF(COUNTIF(K$2:K90,K90)=1,SUMIF(K:K,K90,H:H)/SUMIF(K:K,K90,W:W),"")</f>
        <v/>
      </c>
      <c r="AA90" s="9" t="str">
        <f>IF(COUNTIF($M$2:M90,M90)=1, SUMIF(M:M,M90,X:X), "")</f>
        <v/>
      </c>
      <c r="AB90" s="9" t="str">
        <f>IF(COUNTIF($M$2:M90,M90)=1, SUMIF(M:M,M90,Y:Y), "")</f>
        <v/>
      </c>
    </row>
    <row r="91" spans="1:28" x14ac:dyDescent="0.35">
      <c r="A91" s="5">
        <f ca="1">IF(B91="","",COUNTA($B$2:B91))</f>
        <v>90</v>
      </c>
      <c r="B91" s="6">
        <f t="shared" ca="1" si="4"/>
        <v>46193</v>
      </c>
      <c r="C91" s="5" t="s">
        <v>299</v>
      </c>
      <c r="D91" s="5" t="s">
        <v>300</v>
      </c>
      <c r="E91" s="5" t="s">
        <v>297</v>
      </c>
      <c r="F91" s="5" t="s">
        <v>298</v>
      </c>
      <c r="G91" s="5">
        <v>154</v>
      </c>
      <c r="H91" s="7" t="str">
        <f>IF(COUNTIF($M$2:M91,M91)=1,
SUMIFS($G:$G,$M:$M,M91),
"")</f>
        <v/>
      </c>
      <c r="I91" s="7" t="str">
        <f>IF(E91&lt;&gt;E90,SUMIF(E:E,E91,X:X)," ")</f>
        <v xml:space="preserve"> </v>
      </c>
      <c r="J91" s="8" t="str">
        <f>IF(E91&lt;&gt;E90,SUMIF(E:E,E91,Y:Y)," ")</f>
        <v xml:space="preserve"> </v>
      </c>
      <c r="K91" s="5" t="s">
        <v>36</v>
      </c>
      <c r="L91" s="5" t="s">
        <v>268</v>
      </c>
      <c r="O91" s="9" t="str">
        <f>IF(Q91="","",COUNTIFS($M:$M,M91,$W:$W,"1"))</f>
        <v/>
      </c>
      <c r="P91" s="9" t="s">
        <v>28</v>
      </c>
      <c r="R91" s="5" t="s">
        <v>30</v>
      </c>
      <c r="S91" s="5">
        <v>316</v>
      </c>
      <c r="T91" s="9" t="str">
        <f t="shared" si="5"/>
        <v/>
      </c>
      <c r="V91" s="5" t="str">
        <f>VLOOKUP(E91,'[1]CH DCPT CẤP HÀNG'!$B:$I,8,0)</f>
        <v>GHN</v>
      </c>
      <c r="W91" s="9">
        <f>IF(COUNTIFS($M$2:$M91,M91,$E$2:$E91,E91)=1,1,0)</f>
        <v>0</v>
      </c>
      <c r="X91" s="9">
        <v>176.70909090909089</v>
      </c>
      <c r="Y91" s="9">
        <v>0.62271758932026644</v>
      </c>
      <c r="Z91" s="9" t="str">
        <f>IF(COUNTIF(K$2:K91,K91)=1,SUMIF(K:K,K91,H:H)/SUMIF(K:K,K91,W:W),"")</f>
        <v/>
      </c>
      <c r="AA91" s="9" t="str">
        <f>IF(COUNTIF($M$2:M91,M91)=1, SUMIF(M:M,M91,X:X), "")</f>
        <v/>
      </c>
      <c r="AB91" s="9" t="str">
        <f>IF(COUNTIF($M$2:M91,M91)=1, SUMIF(M:M,M91,Y:Y), "")</f>
        <v/>
      </c>
    </row>
    <row r="92" spans="1:28" x14ac:dyDescent="0.35">
      <c r="A92" s="5">
        <f ca="1">IF(B92="","",COUNTA($B$2:B92))</f>
        <v>91</v>
      </c>
      <c r="B92" s="6">
        <f t="shared" ca="1" si="4"/>
        <v>46193</v>
      </c>
      <c r="C92" s="5" t="s">
        <v>301</v>
      </c>
      <c r="D92" s="5" t="s">
        <v>302</v>
      </c>
      <c r="E92" s="5" t="s">
        <v>303</v>
      </c>
      <c r="F92" s="5" t="s">
        <v>304</v>
      </c>
      <c r="G92" s="5">
        <v>189</v>
      </c>
      <c r="H92" s="7" t="str">
        <f>IF(COUNTIF($M$2:M92,M92)=1,
SUMIFS($G:$G,$M:$M,M92),
"")</f>
        <v/>
      </c>
      <c r="I92" s="7">
        <f>IF(E92&lt;&gt;E91,SUMIF(E:E,E92,X:X)," ")</f>
        <v>119.52682424242425</v>
      </c>
      <c r="J92" s="8">
        <f>IF(E92&lt;&gt;E91,SUMIF(E:E,E92,Y:Y)," ")</f>
        <v>0.84011340692597269</v>
      </c>
      <c r="K92" s="5" t="s">
        <v>36</v>
      </c>
      <c r="L92" s="5" t="s">
        <v>268</v>
      </c>
      <c r="O92" s="9" t="str">
        <f>IF(Q92="","",COUNTIFS($M:$M,M92,$W:$W,"1"))</f>
        <v/>
      </c>
      <c r="P92" s="9" t="s">
        <v>28</v>
      </c>
      <c r="R92" s="5" t="s">
        <v>30</v>
      </c>
      <c r="S92" s="5">
        <v>317</v>
      </c>
      <c r="T92" s="9" t="str">
        <f t="shared" si="5"/>
        <v/>
      </c>
      <c r="V92" s="5" t="str">
        <f>VLOOKUP(E92,'[1]CH DCPT CẤP HÀNG'!$B:$I,8,0)</f>
        <v>GHN</v>
      </c>
      <c r="W92" s="9">
        <f>IF(COUNTIFS($M$2:$M92,M92,$E$2:$E92,E92)=1,1,0)</f>
        <v>0</v>
      </c>
      <c r="X92" s="9">
        <v>64.317733333333351</v>
      </c>
      <c r="Y92" s="9">
        <v>0.44831112511332238</v>
      </c>
      <c r="Z92" s="9" t="str">
        <f>IF(COUNTIF(K$2:K92,K92)=1,SUMIF(K:K,K92,H:H)/SUMIF(K:K,K92,W:W),"")</f>
        <v/>
      </c>
      <c r="AA92" s="9" t="str">
        <f>IF(COUNTIF($M$2:M92,M92)=1, SUMIF(M:M,M92,X:X), "")</f>
        <v/>
      </c>
      <c r="AB92" s="9" t="str">
        <f>IF(COUNTIF($M$2:M92,M92)=1, SUMIF(M:M,M92,Y:Y), "")</f>
        <v/>
      </c>
    </row>
    <row r="93" spans="1:28" x14ac:dyDescent="0.35">
      <c r="A93" s="5">
        <f ca="1">IF(B93="","",COUNTA($B$2:B93))</f>
        <v>92</v>
      </c>
      <c r="B93" s="6">
        <f t="shared" ca="1" si="4"/>
        <v>46193</v>
      </c>
      <c r="C93" s="5" t="s">
        <v>305</v>
      </c>
      <c r="D93" s="5" t="s">
        <v>306</v>
      </c>
      <c r="E93" s="5" t="s">
        <v>303</v>
      </c>
      <c r="F93" s="5" t="s">
        <v>304</v>
      </c>
      <c r="G93" s="5">
        <v>118</v>
      </c>
      <c r="H93" s="7" t="str">
        <f>IF(COUNTIF($M$2:M93,M93)=1,
SUMIFS($G:$G,$M:$M,M93),
"")</f>
        <v/>
      </c>
      <c r="I93" s="7" t="str">
        <f>IF(E93&lt;&gt;E92,SUMIF(E:E,E93,X:X)," ")</f>
        <v xml:space="preserve"> </v>
      </c>
      <c r="J93" s="8" t="str">
        <f>IF(E93&lt;&gt;E92,SUMIF(E:E,E93,Y:Y)," ")</f>
        <v xml:space="preserve"> </v>
      </c>
      <c r="K93" s="5" t="s">
        <v>36</v>
      </c>
      <c r="L93" s="5" t="s">
        <v>268</v>
      </c>
      <c r="O93" s="9" t="str">
        <f>IF(Q93="","",COUNTIFS($M:$M,M93,$W:$W,"1"))</f>
        <v/>
      </c>
      <c r="P93" s="9" t="s">
        <v>28</v>
      </c>
      <c r="R93" s="5" t="s">
        <v>30</v>
      </c>
      <c r="S93" s="5">
        <v>317</v>
      </c>
      <c r="T93" s="9" t="str">
        <f t="shared" si="5"/>
        <v/>
      </c>
      <c r="V93" s="5" t="str">
        <f>VLOOKUP(E93,'[1]CH DCPT CẤP HÀNG'!$B:$I,8,0)</f>
        <v>GHN</v>
      </c>
      <c r="W93" s="9">
        <f>IF(COUNTIFS($M$2:$M93,M93,$E$2:$E93,E93)=1,1,0)</f>
        <v>0</v>
      </c>
      <c r="X93" s="9">
        <v>55.209090909090911</v>
      </c>
      <c r="Y93" s="9">
        <v>0.39180228181265031</v>
      </c>
      <c r="Z93" s="9" t="str">
        <f>IF(COUNTIF(K$2:K93,K93)=1,SUMIF(K:K,K93,H:H)/SUMIF(K:K,K93,W:W),"")</f>
        <v/>
      </c>
      <c r="AA93" s="9" t="str">
        <f>IF(COUNTIF($M$2:M93,M93)=1, SUMIF(M:M,M93,X:X), "")</f>
        <v/>
      </c>
      <c r="AB93" s="9" t="str">
        <f>IF(COUNTIF($M$2:M93,M93)=1, SUMIF(M:M,M93,Y:Y), "")</f>
        <v/>
      </c>
    </row>
    <row r="94" spans="1:28" x14ac:dyDescent="0.35">
      <c r="A94" s="5">
        <f ca="1">IF(B94="","",COUNTA($B$2:B94))</f>
        <v>93</v>
      </c>
      <c r="B94" s="6">
        <f t="shared" ca="1" si="4"/>
        <v>46193</v>
      </c>
      <c r="C94" s="5" t="s">
        <v>307</v>
      </c>
      <c r="D94" s="5" t="s">
        <v>308</v>
      </c>
      <c r="E94" s="5" t="s">
        <v>309</v>
      </c>
      <c r="F94" s="5" t="s">
        <v>310</v>
      </c>
      <c r="G94" s="5">
        <v>115</v>
      </c>
      <c r="H94" s="7" t="str">
        <f>IF(COUNTIF($M$2:M94,M94)=1,
SUMIFS($G:$G,$M:$M,M94),
"")</f>
        <v/>
      </c>
      <c r="I94" s="7">
        <f>IF(E94&lt;&gt;E93,SUMIF(E:E,E94,X:X)," ")</f>
        <v>234.063990430622</v>
      </c>
      <c r="J94" s="8">
        <f>IF(E94&lt;&gt;E93,SUMIF(E:E,E94,Y:Y)," ")</f>
        <v>1.2160779932587662</v>
      </c>
      <c r="K94" s="5" t="s">
        <v>36</v>
      </c>
      <c r="L94" s="5" t="s">
        <v>268</v>
      </c>
      <c r="O94" s="9" t="str">
        <f>IF(Q94="","",COUNTIFS($M:$M,M94,$W:$W,"1"))</f>
        <v/>
      </c>
      <c r="P94" s="9" t="s">
        <v>28</v>
      </c>
      <c r="R94" s="5" t="s">
        <v>30</v>
      </c>
      <c r="S94" s="5">
        <v>319</v>
      </c>
      <c r="T94" s="9" t="str">
        <f t="shared" si="5"/>
        <v/>
      </c>
      <c r="V94" s="5" t="str">
        <f>VLOOKUP(E94,'[1]CH DCPT CẤP HÀNG'!$B:$I,8,0)</f>
        <v>GHN</v>
      </c>
      <c r="W94" s="9">
        <f>IF(COUNTIFS($M$2:$M94,M94,$E$2:$E94,E94)=1,1,0)</f>
        <v>0</v>
      </c>
      <c r="X94" s="9">
        <v>102.39126315789471</v>
      </c>
      <c r="Y94" s="9">
        <v>0.51712987476923078</v>
      </c>
      <c r="Z94" s="9" t="str">
        <f>IF(COUNTIF(K$2:K94,K94)=1,SUMIF(K:K,K94,H:H)/SUMIF(K:K,K94,W:W),"")</f>
        <v/>
      </c>
      <c r="AA94" s="9" t="str">
        <f>IF(COUNTIF($M$2:M94,M94)=1, SUMIF(M:M,M94,X:X), "")</f>
        <v/>
      </c>
      <c r="AB94" s="9" t="str">
        <f>IF(COUNTIF($M$2:M94,M94)=1, SUMIF(M:M,M94,Y:Y), "")</f>
        <v/>
      </c>
    </row>
    <row r="95" spans="1:28" x14ac:dyDescent="0.35">
      <c r="A95" s="5">
        <f ca="1">IF(B95="","",COUNTA($B$2:B95))</f>
        <v>94</v>
      </c>
      <c r="B95" s="6">
        <f t="shared" ca="1" si="4"/>
        <v>46193</v>
      </c>
      <c r="C95" s="5" t="s">
        <v>311</v>
      </c>
      <c r="D95" s="5" t="s">
        <v>312</v>
      </c>
      <c r="E95" s="5" t="s">
        <v>309</v>
      </c>
      <c r="F95" s="5" t="s">
        <v>310</v>
      </c>
      <c r="G95" s="5">
        <v>310</v>
      </c>
      <c r="H95" s="7" t="str">
        <f>IF(COUNTIF($M$2:M95,M95)=1,
SUMIFS($G:$G,$M:$M,M95),
"")</f>
        <v/>
      </c>
      <c r="I95" s="7" t="str">
        <f>IF(E95&lt;&gt;E94,SUMIF(E:E,E95,X:X)," ")</f>
        <v xml:space="preserve"> </v>
      </c>
      <c r="J95" s="8" t="str">
        <f>IF(E95&lt;&gt;E94,SUMIF(E:E,E95,Y:Y)," ")</f>
        <v xml:space="preserve"> </v>
      </c>
      <c r="K95" s="5" t="s">
        <v>36</v>
      </c>
      <c r="L95" s="5" t="s">
        <v>268</v>
      </c>
      <c r="O95" s="9" t="str">
        <f>IF(Q95="","",COUNTIFS($M:$M,M95,$W:$W,"1"))</f>
        <v/>
      </c>
      <c r="P95" s="9" t="s">
        <v>28</v>
      </c>
      <c r="R95" s="5" t="s">
        <v>30</v>
      </c>
      <c r="S95" s="5">
        <v>319</v>
      </c>
      <c r="T95" s="9" t="str">
        <f t="shared" si="5"/>
        <v/>
      </c>
      <c r="V95" s="5" t="str">
        <f>VLOOKUP(E95,'[1]CH DCPT CẤP HÀNG'!$B:$I,8,0)</f>
        <v>GHN</v>
      </c>
      <c r="W95" s="9">
        <f>IF(COUNTIFS($M$2:$M95,M95,$E$2:$E95,E95)=1,1,0)</f>
        <v>0</v>
      </c>
      <c r="X95" s="9">
        <v>131.67272727272729</v>
      </c>
      <c r="Y95" s="9">
        <v>0.69894811848953542</v>
      </c>
      <c r="Z95" s="9" t="str">
        <f>IF(COUNTIF(K$2:K95,K95)=1,SUMIF(K:K,K95,H:H)/SUMIF(K:K,K95,W:W),"")</f>
        <v/>
      </c>
      <c r="AA95" s="9" t="str">
        <f>IF(COUNTIF($M$2:M95,M95)=1, SUMIF(M:M,M95,X:X), "")</f>
        <v/>
      </c>
      <c r="AB95" s="9" t="str">
        <f>IF(COUNTIF($M$2:M95,M95)=1, SUMIF(M:M,M95,Y:Y), "")</f>
        <v/>
      </c>
    </row>
    <row r="96" spans="1:28" x14ac:dyDescent="0.35">
      <c r="A96" s="5">
        <f ca="1">IF(B96="","",COUNTA($B$2:B96))</f>
        <v>95</v>
      </c>
      <c r="B96" s="6">
        <f t="shared" ca="1" si="4"/>
        <v>46193</v>
      </c>
      <c r="C96" s="5" t="s">
        <v>313</v>
      </c>
      <c r="D96" s="5" t="s">
        <v>314</v>
      </c>
      <c r="E96" s="5" t="s">
        <v>315</v>
      </c>
      <c r="F96" s="5" t="s">
        <v>316</v>
      </c>
      <c r="G96" s="5">
        <v>249</v>
      </c>
      <c r="H96" s="7" t="str">
        <f>IF(COUNTIF($M$2:M96,M96)=1,
SUMIFS($G:$G,$M:$M,M96),
"")</f>
        <v/>
      </c>
      <c r="I96" s="7">
        <f>IF(E96&lt;&gt;E95,SUMIF(E:E,E96,X:X)," ")</f>
        <v>452.24514673046247</v>
      </c>
      <c r="J96" s="8">
        <f>IF(E96&lt;&gt;E95,SUMIF(E:E,E96,Y:Y)," ")</f>
        <v>1.9802315703003766</v>
      </c>
      <c r="K96" s="5" t="s">
        <v>36</v>
      </c>
      <c r="L96" s="5" t="s">
        <v>268</v>
      </c>
      <c r="O96" s="9" t="str">
        <f>IF(Q96="","",COUNTIFS($M:$M,M96,$W:$W,"1"))</f>
        <v/>
      </c>
      <c r="P96" s="9" t="s">
        <v>28</v>
      </c>
      <c r="R96" s="5" t="s">
        <v>30</v>
      </c>
      <c r="S96" s="5">
        <v>320</v>
      </c>
      <c r="T96" s="9" t="str">
        <f t="shared" si="5"/>
        <v/>
      </c>
      <c r="V96" s="5" t="str">
        <f>VLOOKUP(E96,'[1]CH DCPT CẤP HÀNG'!$B:$I,8,0)</f>
        <v>GHN</v>
      </c>
      <c r="W96" s="9">
        <f>IF(COUNTIFS($M$2:$M96,M96,$E$2:$E96,E96)=1,1,0)</f>
        <v>0</v>
      </c>
      <c r="X96" s="9">
        <v>162.34596491228066</v>
      </c>
      <c r="Y96" s="9">
        <v>0.81004414255207491</v>
      </c>
      <c r="Z96" s="9" t="str">
        <f>IF(COUNTIF(K$2:K96,K96)=1,SUMIF(K:K,K96,H:H)/SUMIF(K:K,K96,W:W),"")</f>
        <v/>
      </c>
      <c r="AA96" s="9" t="str">
        <f>IF(COUNTIF($M$2:M96,M96)=1, SUMIF(M:M,M96,X:X), "")</f>
        <v/>
      </c>
      <c r="AB96" s="9" t="str">
        <f>IF(COUNTIF($M$2:M96,M96)=1, SUMIF(M:M,M96,Y:Y), "")</f>
        <v/>
      </c>
    </row>
    <row r="97" spans="1:28" x14ac:dyDescent="0.35">
      <c r="A97" s="5">
        <f ca="1">IF(B97="","",COUNTA($B$2:B97))</f>
        <v>96</v>
      </c>
      <c r="B97" s="6">
        <f t="shared" ca="1" si="4"/>
        <v>46193</v>
      </c>
      <c r="C97" s="5" t="s">
        <v>317</v>
      </c>
      <c r="D97" s="5" t="s">
        <v>318</v>
      </c>
      <c r="E97" s="5" t="s">
        <v>315</v>
      </c>
      <c r="F97" s="5" t="s">
        <v>316</v>
      </c>
      <c r="G97" s="5">
        <v>644</v>
      </c>
      <c r="H97" s="7" t="str">
        <f>IF(COUNTIF($M$2:M97,M97)=1,
SUMIFS($G:$G,$M:$M,M97),
"")</f>
        <v/>
      </c>
      <c r="I97" s="7" t="str">
        <f>IF(E97&lt;&gt;E96,SUMIF(E:E,E97,X:X)," ")</f>
        <v xml:space="preserve"> </v>
      </c>
      <c r="J97" s="8" t="str">
        <f>IF(E97&lt;&gt;E96,SUMIF(E:E,E97,Y:Y)," ")</f>
        <v xml:space="preserve"> </v>
      </c>
      <c r="K97" s="5" t="s">
        <v>36</v>
      </c>
      <c r="L97" s="5" t="s">
        <v>268</v>
      </c>
      <c r="O97" s="9" t="str">
        <f>IF(Q97="","",COUNTIFS($M:$M,M97,$W:$W,"1"))</f>
        <v/>
      </c>
      <c r="P97" s="9" t="s">
        <v>28</v>
      </c>
      <c r="R97" s="5" t="s">
        <v>30</v>
      </c>
      <c r="S97" s="5">
        <v>320</v>
      </c>
      <c r="T97" s="9" t="str">
        <f t="shared" si="5"/>
        <v/>
      </c>
      <c r="V97" s="5" t="str">
        <f>VLOOKUP(E97,'[1]CH DCPT CẤP HÀNG'!$B:$I,8,0)</f>
        <v>GHN</v>
      </c>
      <c r="W97" s="9">
        <f>IF(COUNTIFS($M$2:$M97,M97,$E$2:$E97,E97)=1,1,0)</f>
        <v>0</v>
      </c>
      <c r="X97" s="9">
        <v>289.89918181818183</v>
      </c>
      <c r="Y97" s="9">
        <v>1.1701874277483015</v>
      </c>
      <c r="Z97" s="9" t="str">
        <f>IF(COUNTIF(K$2:K97,K97)=1,SUMIF(K:K,K97,H:H)/SUMIF(K:K,K97,W:W),"")</f>
        <v/>
      </c>
      <c r="AA97" s="9" t="str">
        <f>IF(COUNTIF($M$2:M97,M97)=1, SUMIF(M:M,M97,X:X), "")</f>
        <v/>
      </c>
      <c r="AB97" s="9" t="str">
        <f>IF(COUNTIF($M$2:M97,M97)=1, SUMIF(M:M,M97,Y:Y), "")</f>
        <v/>
      </c>
    </row>
    <row r="98" spans="1:28" x14ac:dyDescent="0.35">
      <c r="A98" s="5">
        <f ca="1">IF(B98="","",COUNTA($B$2:B98))</f>
        <v>97</v>
      </c>
      <c r="B98" s="6">
        <f t="shared" ref="B98:B132" ca="1" si="6">TODAY()+1</f>
        <v>46193</v>
      </c>
      <c r="C98" s="5" t="s">
        <v>320</v>
      </c>
      <c r="D98" s="5" t="s">
        <v>321</v>
      </c>
      <c r="E98" s="5" t="s">
        <v>322</v>
      </c>
      <c r="F98" s="5" t="s">
        <v>323</v>
      </c>
      <c r="G98" s="5">
        <v>227</v>
      </c>
      <c r="H98" s="7" t="str">
        <f>IF(COUNTIF($M$2:M98,M98)=1,
SUMIFS($G:$G,$M:$M,M98),
"")</f>
        <v/>
      </c>
      <c r="I98" s="7" t="e">
        <f>IF(E98&lt;&gt;#REF!,SUMIF(E:E,E98,X:X)," ")</f>
        <v>#REF!</v>
      </c>
      <c r="J98" s="8" t="e">
        <f>IF(E98&lt;&gt;#REF!,SUMIF(E:E,E98,Y:Y)," ")</f>
        <v>#REF!</v>
      </c>
      <c r="K98" s="5" t="s">
        <v>36</v>
      </c>
      <c r="L98" s="5" t="s">
        <v>319</v>
      </c>
      <c r="O98" s="9" t="str">
        <f>IF(Q98="","",COUNTIFS($M:$M,M98,$W:$W,"1"))</f>
        <v/>
      </c>
      <c r="P98" s="9" t="s">
        <v>28</v>
      </c>
      <c r="R98" s="5" t="s">
        <v>30</v>
      </c>
      <c r="S98" s="5">
        <v>340</v>
      </c>
      <c r="T98" s="9" t="str">
        <f t="shared" ref="T98:T132" si="7">IF(OR(Q98="", M98="", N98=""), "", "LOT SAU KHOẢNG " &amp; TEXT(IF(Q98=5, N98+TIME(2,0,0), IF(OR(Q98=7, Q98=8), N98+TIME(2,48,0), IF(Q98=10, N98+TIME(3,48,0), N98))), "hh:mm"))</f>
        <v/>
      </c>
      <c r="V98" s="5" t="str">
        <f>VLOOKUP(E98,'[1]CH DCPT CẤP HÀNG'!$B:$I,8,0)</f>
        <v>GHN</v>
      </c>
      <c r="W98" s="9">
        <f>IF(COUNTIFS($M$2:$M98,M98,$E$2:$E98,E98)=1,1,0)</f>
        <v>0</v>
      </c>
      <c r="X98" s="9">
        <v>140.608</v>
      </c>
      <c r="Y98" s="9">
        <v>0.35573351906409595</v>
      </c>
      <c r="Z98" s="9" t="str">
        <f>IF(COUNTIF(K$2:K98,K98)=1,SUMIF(K:K,K98,H:H)/SUMIF(K:K,K98,W:W),"")</f>
        <v/>
      </c>
      <c r="AA98" s="9" t="str">
        <f>IF(COUNTIF($M$2:M98,M98)=1, SUMIF(M:M,M98,X:X), "")</f>
        <v/>
      </c>
      <c r="AB98" s="9" t="str">
        <f>IF(COUNTIF($M$2:M98,M98)=1, SUMIF(M:M,M98,Y:Y), "")</f>
        <v/>
      </c>
    </row>
    <row r="99" spans="1:28" x14ac:dyDescent="0.35">
      <c r="A99" s="5">
        <f ca="1">IF(B99="","",COUNTA($B$2:B99))</f>
        <v>98</v>
      </c>
      <c r="B99" s="6">
        <f t="shared" ca="1" si="6"/>
        <v>46193</v>
      </c>
      <c r="C99" s="5" t="s">
        <v>324</v>
      </c>
      <c r="D99" s="5" t="s">
        <v>325</v>
      </c>
      <c r="E99" s="5" t="s">
        <v>322</v>
      </c>
      <c r="F99" s="5" t="s">
        <v>323</v>
      </c>
      <c r="G99" s="5">
        <v>906</v>
      </c>
      <c r="H99" s="7" t="str">
        <f>IF(COUNTIF($M$2:M99,M99)=1,
SUMIFS($G:$G,$M:$M,M99),
"")</f>
        <v/>
      </c>
      <c r="I99" s="7" t="str">
        <f>IF(E99&lt;&gt;E98,SUMIF(E:E,E99,X:X)," ")</f>
        <v xml:space="preserve"> </v>
      </c>
      <c r="J99" s="8" t="str">
        <f>IF(E99&lt;&gt;E98,SUMIF(E:E,E99,Y:Y)," ")</f>
        <v xml:space="preserve"> </v>
      </c>
      <c r="K99" s="5" t="s">
        <v>36</v>
      </c>
      <c r="L99" s="5" t="s">
        <v>319</v>
      </c>
      <c r="O99" s="9" t="str">
        <f>IF(Q99="","",COUNTIFS($M:$M,M99,$W:$W,"1"))</f>
        <v/>
      </c>
      <c r="P99" s="9" t="s">
        <v>28</v>
      </c>
      <c r="R99" s="5" t="s">
        <v>30</v>
      </c>
      <c r="S99" s="5">
        <v>340</v>
      </c>
      <c r="T99" s="9" t="str">
        <f t="shared" si="7"/>
        <v/>
      </c>
      <c r="V99" s="5" t="str">
        <f>VLOOKUP(E99,'[1]CH DCPT CẤP HÀNG'!$B:$I,8,0)</f>
        <v>GHN</v>
      </c>
      <c r="W99" s="9">
        <f>IF(COUNTIFS($M$2:$M99,M99,$E$2:$E99,E99)=1,1,0)</f>
        <v>0</v>
      </c>
      <c r="X99" s="9">
        <v>292.16079999999999</v>
      </c>
      <c r="Y99" s="9">
        <v>0.86541611538461538</v>
      </c>
      <c r="Z99" s="9" t="str">
        <f>IF(COUNTIF(K$2:K99,K99)=1,SUMIF(K:K,K99,H:H)/SUMIF(K:K,K99,W:W),"")</f>
        <v/>
      </c>
      <c r="AA99" s="9" t="str">
        <f>IF(COUNTIF($M$2:M99,M99)=1, SUMIF(M:M,M99,X:X), "")</f>
        <v/>
      </c>
      <c r="AB99" s="9" t="str">
        <f>IF(COUNTIF($M$2:M99,M99)=1, SUMIF(M:M,M99,Y:Y), "")</f>
        <v/>
      </c>
    </row>
    <row r="100" spans="1:28" x14ac:dyDescent="0.35">
      <c r="A100" s="5">
        <f ca="1">IF(B100="","",COUNTA($B$2:B100))</f>
        <v>99</v>
      </c>
      <c r="B100" s="6">
        <f t="shared" ca="1" si="6"/>
        <v>46193</v>
      </c>
      <c r="C100" s="5" t="s">
        <v>326</v>
      </c>
      <c r="D100" s="5" t="s">
        <v>327</v>
      </c>
      <c r="E100" s="5" t="s">
        <v>328</v>
      </c>
      <c r="F100" s="5" t="s">
        <v>329</v>
      </c>
      <c r="G100" s="5">
        <v>242</v>
      </c>
      <c r="H100" s="7" t="str">
        <f>IF(COUNTIF($M$2:M100,M100)=1,
SUMIFS($G:$G,$M:$M,M100),
"")</f>
        <v/>
      </c>
      <c r="I100" s="7">
        <f>IF(E100&lt;&gt;E99,SUMIF(E:E,E100,X:X)," ")</f>
        <v>329.9545333333333</v>
      </c>
      <c r="J100" s="8">
        <f>IF(E100&lt;&gt;E99,SUMIF(E:E,E100,Y:Y)," ")</f>
        <v>0.83150841491666327</v>
      </c>
      <c r="K100" s="5" t="s">
        <v>36</v>
      </c>
      <c r="L100" s="5" t="s">
        <v>319</v>
      </c>
      <c r="O100" s="9" t="str">
        <f>IF(Q100="","",COUNTIFS($M:$M,M100,$W:$W,"1"))</f>
        <v/>
      </c>
      <c r="P100" s="9" t="s">
        <v>28</v>
      </c>
      <c r="R100" s="5" t="s">
        <v>30</v>
      </c>
      <c r="S100" s="5">
        <v>341</v>
      </c>
      <c r="T100" s="9" t="str">
        <f t="shared" si="7"/>
        <v/>
      </c>
      <c r="V100" s="5" t="str">
        <f>VLOOKUP(E100,'[1]CH DCPT CẤP HÀNG'!$B:$I,8,0)</f>
        <v>GHN</v>
      </c>
      <c r="W100" s="9">
        <f>IF(COUNTIFS($M$2:$M100,M100,$E$2:$E100,E100)=1,1,0)</f>
        <v>0</v>
      </c>
      <c r="X100" s="9">
        <v>102.56173333333331</v>
      </c>
      <c r="Y100" s="9">
        <v>0.27534319645512484</v>
      </c>
      <c r="Z100" s="9" t="str">
        <f>IF(COUNTIF(K$2:K100,K100)=1,SUMIF(K:K,K100,H:H)/SUMIF(K:K,K100,W:W),"")</f>
        <v/>
      </c>
      <c r="AA100" s="9" t="str">
        <f>IF(COUNTIF($M$2:M100,M100)=1, SUMIF(M:M,M100,X:X), "")</f>
        <v/>
      </c>
      <c r="AB100" s="9" t="str">
        <f>IF(COUNTIF($M$2:M100,M100)=1, SUMIF(M:M,M100,Y:Y), "")</f>
        <v/>
      </c>
    </row>
    <row r="101" spans="1:28" x14ac:dyDescent="0.35">
      <c r="A101" s="5">
        <f ca="1">IF(B101="","",COUNTA($B$2:B101))</f>
        <v>100</v>
      </c>
      <c r="B101" s="6">
        <f t="shared" ca="1" si="6"/>
        <v>46193</v>
      </c>
      <c r="C101" s="5" t="s">
        <v>330</v>
      </c>
      <c r="D101" s="5" t="s">
        <v>331</v>
      </c>
      <c r="E101" s="5" t="s">
        <v>328</v>
      </c>
      <c r="F101" s="5" t="s">
        <v>329</v>
      </c>
      <c r="G101" s="5">
        <v>630</v>
      </c>
      <c r="H101" s="7" t="str">
        <f>IF(COUNTIF($M$2:M101,M101)=1,
SUMIFS($G:$G,$M:$M,M101),
"")</f>
        <v/>
      </c>
      <c r="I101" s="7" t="str">
        <f>IF(E101&lt;&gt;E100,SUMIF(E:E,E101,X:X)," ")</f>
        <v xml:space="preserve"> </v>
      </c>
      <c r="J101" s="8" t="str">
        <f>IF(E101&lt;&gt;E100,SUMIF(E:E,E101,Y:Y)," ")</f>
        <v xml:space="preserve"> </v>
      </c>
      <c r="K101" s="5" t="s">
        <v>36</v>
      </c>
      <c r="L101" s="5" t="s">
        <v>319</v>
      </c>
      <c r="O101" s="9" t="str">
        <f>IF(Q101="","",COUNTIFS($M:$M,M101,$W:$W,"1"))</f>
        <v/>
      </c>
      <c r="P101" s="9" t="s">
        <v>28</v>
      </c>
      <c r="R101" s="5" t="s">
        <v>30</v>
      </c>
      <c r="S101" s="5">
        <v>341</v>
      </c>
      <c r="T101" s="9" t="str">
        <f t="shared" si="7"/>
        <v/>
      </c>
      <c r="V101" s="5" t="str">
        <f>VLOOKUP(E101,'[1]CH DCPT CẤP HÀNG'!$B:$I,8,0)</f>
        <v>GHN</v>
      </c>
      <c r="W101" s="9">
        <f>IF(COUNTIFS($M$2:$M101,M101,$E$2:$E101,E101)=1,1,0)</f>
        <v>0</v>
      </c>
      <c r="X101" s="9">
        <v>227.39279999999999</v>
      </c>
      <c r="Y101" s="9">
        <v>0.55616521846153844</v>
      </c>
      <c r="Z101" s="9" t="str">
        <f>IF(COUNTIF(K$2:K101,K101)=1,SUMIF(K:K,K101,H:H)/SUMIF(K:K,K101,W:W),"")</f>
        <v/>
      </c>
      <c r="AA101" s="9" t="str">
        <f>IF(COUNTIF($M$2:M101,M101)=1, SUMIF(M:M,M101,X:X), "")</f>
        <v/>
      </c>
      <c r="AB101" s="9" t="str">
        <f>IF(COUNTIF($M$2:M101,M101)=1, SUMIF(M:M,M101,Y:Y), "")</f>
        <v/>
      </c>
    </row>
    <row r="102" spans="1:28" x14ac:dyDescent="0.35">
      <c r="A102" s="5">
        <f ca="1">IF(B102="","",COUNTA($B$2:B102))</f>
        <v>101</v>
      </c>
      <c r="B102" s="6">
        <f t="shared" ca="1" si="6"/>
        <v>46193</v>
      </c>
      <c r="C102" s="5" t="s">
        <v>332</v>
      </c>
      <c r="D102" s="5" t="s">
        <v>333</v>
      </c>
      <c r="E102" s="5" t="s">
        <v>334</v>
      </c>
      <c r="F102" s="5" t="s">
        <v>335</v>
      </c>
      <c r="G102" s="5">
        <v>340</v>
      </c>
      <c r="H102" s="7" t="str">
        <f>IF(COUNTIF($M$2:M102,M102)=1,
SUMIFS($G:$G,$M:$M,M102),
"")</f>
        <v/>
      </c>
      <c r="I102" s="7">
        <f>IF(E102&lt;&gt;E101,SUMIF(E:E,E102,X:X)," ")</f>
        <v>352.65733333333333</v>
      </c>
      <c r="J102" s="8">
        <f>IF(E102&lt;&gt;E101,SUMIF(E:E,E102,Y:Y)," ")</f>
        <v>1.0272958967307693</v>
      </c>
      <c r="K102" s="5" t="s">
        <v>36</v>
      </c>
      <c r="L102" s="5" t="s">
        <v>319</v>
      </c>
      <c r="O102" s="9" t="str">
        <f>IF(Q102="","",COUNTIFS($M:$M,M102,$W:$W,"1"))</f>
        <v/>
      </c>
      <c r="P102" s="9" t="s">
        <v>28</v>
      </c>
      <c r="R102" s="5" t="s">
        <v>30</v>
      </c>
      <c r="S102" s="5">
        <v>342</v>
      </c>
      <c r="T102" s="9" t="str">
        <f t="shared" si="7"/>
        <v/>
      </c>
      <c r="V102" s="5" t="str">
        <f>VLOOKUP(E102,'[1]CH DCPT CẤP HÀNG'!$B:$I,8,0)</f>
        <v>GHN</v>
      </c>
      <c r="W102" s="9">
        <f>IF(COUNTIFS($M$2:$M102,M102,$E$2:$E102,E102)=1,1,0)</f>
        <v>0</v>
      </c>
      <c r="X102" s="9">
        <v>109.41733333333333</v>
      </c>
      <c r="Y102" s="9">
        <v>0.43928374903846157</v>
      </c>
      <c r="Z102" s="9" t="str">
        <f>IF(COUNTIF(K$2:K102,K102)=1,SUMIF(K:K,K102,H:H)/SUMIF(K:K,K102,W:W),"")</f>
        <v/>
      </c>
      <c r="AA102" s="9" t="str">
        <f>IF(COUNTIF($M$2:M102,M102)=1, SUMIF(M:M,M102,X:X), "")</f>
        <v/>
      </c>
      <c r="AB102" s="9" t="str">
        <f>IF(COUNTIF($M$2:M102,M102)=1, SUMIF(M:M,M102,Y:Y), "")</f>
        <v/>
      </c>
    </row>
    <row r="103" spans="1:28" x14ac:dyDescent="0.35">
      <c r="A103" s="5">
        <f ca="1">IF(B103="","",COUNTA($B$2:B103))</f>
        <v>102</v>
      </c>
      <c r="B103" s="6">
        <f t="shared" ca="1" si="6"/>
        <v>46193</v>
      </c>
      <c r="C103" s="5" t="s">
        <v>336</v>
      </c>
      <c r="D103" s="5" t="s">
        <v>337</v>
      </c>
      <c r="E103" s="5" t="s">
        <v>334</v>
      </c>
      <c r="F103" s="5" t="s">
        <v>335</v>
      </c>
      <c r="G103" s="5">
        <v>654</v>
      </c>
      <c r="H103" s="7" t="str">
        <f>IF(COUNTIF($M$2:M103,M103)=1,
SUMIFS($G:$G,$M:$M,M103),
"")</f>
        <v/>
      </c>
      <c r="I103" s="7" t="str">
        <f>IF(E103&lt;&gt;E102,SUMIF(E:E,E103,X:X)," ")</f>
        <v xml:space="preserve"> </v>
      </c>
      <c r="J103" s="8" t="str">
        <f>IF(E103&lt;&gt;E102,SUMIF(E:E,E103,Y:Y)," ")</f>
        <v xml:space="preserve"> </v>
      </c>
      <c r="K103" s="5" t="s">
        <v>36</v>
      </c>
      <c r="L103" s="5" t="s">
        <v>319</v>
      </c>
      <c r="O103" s="9" t="str">
        <f>IF(Q103="","",COUNTIFS($M:$M,M103,$W:$W,"1"))</f>
        <v/>
      </c>
      <c r="P103" s="9" t="s">
        <v>28</v>
      </c>
      <c r="R103" s="5" t="s">
        <v>30</v>
      </c>
      <c r="S103" s="5">
        <v>342</v>
      </c>
      <c r="T103" s="9" t="str">
        <f t="shared" si="7"/>
        <v/>
      </c>
      <c r="V103" s="5" t="str">
        <f>VLOOKUP(E103,'[1]CH DCPT CẤP HÀNG'!$B:$I,8,0)</f>
        <v>GHN</v>
      </c>
      <c r="W103" s="9">
        <f>IF(COUNTIFS($M$2:$M103,M103,$E$2:$E103,E103)=1,1,0)</f>
        <v>0</v>
      </c>
      <c r="X103" s="9">
        <v>243.24</v>
      </c>
      <c r="Y103" s="9">
        <v>0.5880121476923077</v>
      </c>
      <c r="Z103" s="9" t="str">
        <f>IF(COUNTIF(K$2:K103,K103)=1,SUMIF(K:K,K103,H:H)/SUMIF(K:K,K103,W:W),"")</f>
        <v/>
      </c>
      <c r="AA103" s="9" t="str">
        <f>IF(COUNTIF($M$2:M103,M103)=1, SUMIF(M:M,M103,X:X), "")</f>
        <v/>
      </c>
      <c r="AB103" s="9" t="str">
        <f>IF(COUNTIF($M$2:M103,M103)=1, SUMIF(M:M,M103,Y:Y), "")</f>
        <v/>
      </c>
    </row>
    <row r="104" spans="1:28" x14ac:dyDescent="0.35">
      <c r="A104" s="5">
        <f ca="1">IF(B104="","",COUNTA($B$2:B104))</f>
        <v>103</v>
      </c>
      <c r="B104" s="6">
        <f t="shared" ca="1" si="6"/>
        <v>46193</v>
      </c>
      <c r="C104" s="5" t="s">
        <v>338</v>
      </c>
      <c r="D104" s="5" t="s">
        <v>339</v>
      </c>
      <c r="E104" s="5" t="s">
        <v>340</v>
      </c>
      <c r="F104" s="5" t="s">
        <v>341</v>
      </c>
      <c r="G104" s="5">
        <v>237</v>
      </c>
      <c r="H104" s="7" t="str">
        <f>IF(COUNTIF($M$2:M104,M104)=1,
SUMIFS($G:$G,$M:$M,M104),
"")</f>
        <v/>
      </c>
      <c r="I104" s="7">
        <f>IF(E104&lt;&gt;E103,SUMIF(E:E,E104,X:X)," ")</f>
        <v>370.50400000000002</v>
      </c>
      <c r="J104" s="8">
        <f>IF(E104&lt;&gt;E103,SUMIF(E:E,E104,Y:Y)," ")</f>
        <v>0.98871177938257282</v>
      </c>
      <c r="K104" s="5" t="s">
        <v>36</v>
      </c>
      <c r="L104" s="5" t="s">
        <v>319</v>
      </c>
      <c r="O104" s="9" t="str">
        <f>IF(Q104="","",COUNTIFS($M:$M,M104,$W:$W,"1"))</f>
        <v/>
      </c>
      <c r="P104" s="9" t="s">
        <v>28</v>
      </c>
      <c r="R104" s="5" t="s">
        <v>30</v>
      </c>
      <c r="S104" s="5">
        <v>343</v>
      </c>
      <c r="T104" s="9" t="str">
        <f t="shared" si="7"/>
        <v/>
      </c>
      <c r="V104" s="5" t="str">
        <f>VLOOKUP(E104,'[1]CH DCPT CẤP HÀNG'!$B:$I,8,0)</f>
        <v>GHN</v>
      </c>
      <c r="W104" s="9">
        <f>IF(COUNTIFS($M$2:$M104,M104,$E$2:$E104,E104)=1,1,0)</f>
        <v>0</v>
      </c>
      <c r="X104" s="9">
        <v>97.23599999999999</v>
      </c>
      <c r="Y104" s="9">
        <v>0.23493197784411141</v>
      </c>
      <c r="Z104" s="9" t="str">
        <f>IF(COUNTIF(K$2:K104,K104)=1,SUMIF(K:K,K104,H:H)/SUMIF(K:K,K104,W:W),"")</f>
        <v/>
      </c>
      <c r="AA104" s="9" t="str">
        <f>IF(COUNTIF($M$2:M104,M104)=1, SUMIF(M:M,M104,X:X), "")</f>
        <v/>
      </c>
      <c r="AB104" s="9" t="str">
        <f>IF(COUNTIF($M$2:M104,M104)=1, SUMIF(M:M,M104,Y:Y), "")</f>
        <v/>
      </c>
    </row>
    <row r="105" spans="1:28" x14ac:dyDescent="0.35">
      <c r="A105" s="5">
        <f ca="1">IF(B105="","",COUNTA($B$2:B105))</f>
        <v>104</v>
      </c>
      <c r="B105" s="6">
        <f t="shared" ca="1" si="6"/>
        <v>46193</v>
      </c>
      <c r="C105" s="5" t="s">
        <v>342</v>
      </c>
      <c r="D105" s="5" t="s">
        <v>343</v>
      </c>
      <c r="E105" s="5" t="s">
        <v>340</v>
      </c>
      <c r="F105" s="5" t="s">
        <v>341</v>
      </c>
      <c r="G105" s="5">
        <v>888</v>
      </c>
      <c r="H105" s="7" t="str">
        <f>IF(COUNTIF($M$2:M105,M105)=1,
SUMIFS($G:$G,$M:$M,M105),
"")</f>
        <v/>
      </c>
      <c r="I105" s="7" t="str">
        <f>IF(E105&lt;&gt;E104,SUMIF(E:E,E105,X:X)," ")</f>
        <v xml:space="preserve"> </v>
      </c>
      <c r="J105" s="8" t="str">
        <f>IF(E105&lt;&gt;E104,SUMIF(E:E,E105,Y:Y)," ")</f>
        <v xml:space="preserve"> </v>
      </c>
      <c r="K105" s="5" t="s">
        <v>36</v>
      </c>
      <c r="L105" s="5" t="s">
        <v>319</v>
      </c>
      <c r="O105" s="9" t="str">
        <f>IF(Q105="","",COUNTIFS($M:$M,M105,$W:$W,"1"))</f>
        <v/>
      </c>
      <c r="P105" s="9" t="s">
        <v>28</v>
      </c>
      <c r="R105" s="5" t="s">
        <v>30</v>
      </c>
      <c r="S105" s="5">
        <v>343</v>
      </c>
      <c r="T105" s="9" t="str">
        <f t="shared" si="7"/>
        <v/>
      </c>
      <c r="V105" s="5" t="str">
        <f>VLOOKUP(E105,'[1]CH DCPT CẤP HÀNG'!$B:$I,8,0)</f>
        <v>GHN</v>
      </c>
      <c r="W105" s="9">
        <f>IF(COUNTIFS($M$2:$M105,M105,$E$2:$E105,E105)=1,1,0)</f>
        <v>0</v>
      </c>
      <c r="X105" s="9">
        <v>273.26800000000003</v>
      </c>
      <c r="Y105" s="9">
        <v>0.75377980153846136</v>
      </c>
      <c r="Z105" s="9" t="str">
        <f>IF(COUNTIF(K$2:K105,K105)=1,SUMIF(K:K,K105,H:H)/SUMIF(K:K,K105,W:W),"")</f>
        <v/>
      </c>
      <c r="AA105" s="9" t="str">
        <f>IF(COUNTIF($M$2:M105,M105)=1, SUMIF(M:M,M105,X:X), "")</f>
        <v/>
      </c>
      <c r="AB105" s="9" t="str">
        <f>IF(COUNTIF($M$2:M105,M105)=1, SUMIF(M:M,M105,Y:Y), "")</f>
        <v/>
      </c>
    </row>
    <row r="106" spans="1:28" x14ac:dyDescent="0.35">
      <c r="A106" s="5">
        <f ca="1">IF(B106="","",COUNTA($B$2:B106))</f>
        <v>105</v>
      </c>
      <c r="B106" s="6">
        <f t="shared" ca="1" si="6"/>
        <v>46193</v>
      </c>
      <c r="C106" s="5" t="s">
        <v>344</v>
      </c>
      <c r="D106" s="5" t="s">
        <v>345</v>
      </c>
      <c r="E106" s="5" t="s">
        <v>346</v>
      </c>
      <c r="F106" s="5" t="s">
        <v>347</v>
      </c>
      <c r="G106" s="5">
        <v>154</v>
      </c>
      <c r="H106" s="7" t="str">
        <f>IF(COUNTIF($M$2:M106,M106)=1,
SUMIFS($G:$G,$M:$M,M106),
"")</f>
        <v/>
      </c>
      <c r="I106" s="7">
        <f>IF(E106&lt;&gt;E105,SUMIF(E:E,E106,X:X)," ")</f>
        <v>406.54920000000004</v>
      </c>
      <c r="J106" s="8">
        <f>IF(E106&lt;&gt;E105,SUMIF(E:E,E106,Y:Y)," ")</f>
        <v>1.0357643614895016</v>
      </c>
      <c r="K106" s="5" t="s">
        <v>36</v>
      </c>
      <c r="L106" s="5" t="s">
        <v>319</v>
      </c>
      <c r="O106" s="9" t="str">
        <f>IF(Q106="","",COUNTIFS($M:$M,M106,$W:$W,"1"))</f>
        <v/>
      </c>
      <c r="P106" s="9" t="s">
        <v>28</v>
      </c>
      <c r="R106" s="5" t="s">
        <v>30</v>
      </c>
      <c r="S106" s="5">
        <v>344</v>
      </c>
      <c r="T106" s="9" t="str">
        <f t="shared" si="7"/>
        <v/>
      </c>
      <c r="V106" s="5" t="str">
        <f>VLOOKUP(E106,'[1]CH DCPT CẤP HÀNG'!$B:$I,8,0)</f>
        <v>GHN</v>
      </c>
      <c r="W106" s="9">
        <f>IF(COUNTIFS($M$2:$M106,M106,$E$2:$E106,E106)=1,1,0)</f>
        <v>0</v>
      </c>
      <c r="X106" s="9">
        <v>71.069200000000009</v>
      </c>
      <c r="Y106" s="9">
        <v>0.19342334610488626</v>
      </c>
      <c r="Z106" s="9" t="str">
        <f>IF(COUNTIF(K$2:K106,K106)=1,SUMIF(K:K,K106,H:H)/SUMIF(K:K,K106,W:W),"")</f>
        <v/>
      </c>
      <c r="AA106" s="9" t="str">
        <f>IF(COUNTIF($M$2:M106,M106)=1, SUMIF(M:M,M106,X:X), "")</f>
        <v/>
      </c>
      <c r="AB106" s="9" t="str">
        <f>IF(COUNTIF($M$2:M106,M106)=1, SUMIF(M:M,M106,Y:Y), "")</f>
        <v/>
      </c>
    </row>
    <row r="107" spans="1:28" x14ac:dyDescent="0.35">
      <c r="A107" s="5">
        <f ca="1">IF(B107="","",COUNTA($B$2:B107))</f>
        <v>106</v>
      </c>
      <c r="B107" s="6">
        <f t="shared" ca="1" si="6"/>
        <v>46193</v>
      </c>
      <c r="C107" s="5" t="s">
        <v>348</v>
      </c>
      <c r="D107" s="5" t="s">
        <v>349</v>
      </c>
      <c r="E107" s="5" t="s">
        <v>346</v>
      </c>
      <c r="F107" s="5" t="s">
        <v>347</v>
      </c>
      <c r="G107" s="5">
        <v>912</v>
      </c>
      <c r="H107" s="7" t="str">
        <f>IF(COUNTIF($M$2:M107,M107)=1,
SUMIFS($G:$G,$M:$M,M107),
"")</f>
        <v/>
      </c>
      <c r="I107" s="7" t="str">
        <f>IF(E107&lt;&gt;E106,SUMIF(E:E,E107,X:X)," ")</f>
        <v xml:space="preserve"> </v>
      </c>
      <c r="J107" s="8" t="str">
        <f>IF(E107&lt;&gt;E106,SUMIF(E:E,E107,Y:Y)," ")</f>
        <v xml:space="preserve"> </v>
      </c>
      <c r="K107" s="5" t="s">
        <v>36</v>
      </c>
      <c r="L107" s="5" t="s">
        <v>319</v>
      </c>
      <c r="O107" s="9" t="str">
        <f>IF(Q107="","",COUNTIFS($M:$M,M107,$W:$W,"1"))</f>
        <v/>
      </c>
      <c r="P107" s="9" t="s">
        <v>28</v>
      </c>
      <c r="R107" s="5" t="s">
        <v>30</v>
      </c>
      <c r="S107" s="5">
        <v>344</v>
      </c>
      <c r="T107" s="9" t="str">
        <f t="shared" si="7"/>
        <v/>
      </c>
      <c r="V107" s="5" t="str">
        <f>VLOOKUP(E107,'[1]CH DCPT CẤP HÀNG'!$B:$I,8,0)</f>
        <v>GHN</v>
      </c>
      <c r="W107" s="9">
        <f>IF(COUNTIFS($M$2:$M107,M107,$E$2:$E107,E107)=1,1,0)</f>
        <v>0</v>
      </c>
      <c r="X107" s="9">
        <v>335.48</v>
      </c>
      <c r="Y107" s="9">
        <v>0.84234101538461537</v>
      </c>
      <c r="Z107" s="9" t="str">
        <f>IF(COUNTIF(K$2:K107,K107)=1,SUMIF(K:K,K107,H:H)/SUMIF(K:K,K107,W:W),"")</f>
        <v/>
      </c>
      <c r="AA107" s="9" t="str">
        <f>IF(COUNTIF($M$2:M107,M107)=1, SUMIF(M:M,M107,X:X), "")</f>
        <v/>
      </c>
      <c r="AB107" s="9" t="str">
        <f>IF(COUNTIF($M$2:M107,M107)=1, SUMIF(M:M,M107,Y:Y), "")</f>
        <v/>
      </c>
    </row>
    <row r="108" spans="1:28" x14ac:dyDescent="0.35">
      <c r="A108" s="5">
        <f ca="1">IF(B108="","",COUNTA($B$2:B108))</f>
        <v>107</v>
      </c>
      <c r="B108" s="6">
        <f t="shared" ca="1" si="6"/>
        <v>46193</v>
      </c>
      <c r="C108" s="5" t="s">
        <v>350</v>
      </c>
      <c r="D108" s="5" t="s">
        <v>351</v>
      </c>
      <c r="E108" s="5" t="s">
        <v>352</v>
      </c>
      <c r="F108" s="5" t="s">
        <v>353</v>
      </c>
      <c r="G108" s="5">
        <v>217</v>
      </c>
      <c r="H108" s="7" t="str">
        <f>IF(COUNTIF($M$2:M108,M108)=1,
SUMIFS($G:$G,$M:$M,M108),
"")</f>
        <v/>
      </c>
      <c r="I108" s="7">
        <f>IF(E108&lt;&gt;E107,SUMIF(E:E,E108,X:X)," ")</f>
        <v>219.71600000000001</v>
      </c>
      <c r="J108" s="8">
        <f>IF(E108&lt;&gt;E107,SUMIF(E:E,E108,Y:Y)," ")</f>
        <v>0.55687553053000549</v>
      </c>
      <c r="K108" s="5" t="s">
        <v>36</v>
      </c>
      <c r="L108" s="5" t="s">
        <v>319</v>
      </c>
      <c r="O108" s="9" t="str">
        <f>IF(Q108="","",COUNTIFS($M:$M,M108,$W:$W,"1"))</f>
        <v/>
      </c>
      <c r="P108" s="9" t="s">
        <v>28</v>
      </c>
      <c r="R108" s="5" t="s">
        <v>30</v>
      </c>
      <c r="S108" s="5">
        <v>345</v>
      </c>
      <c r="T108" s="9" t="str">
        <f t="shared" si="7"/>
        <v/>
      </c>
      <c r="V108" s="5" t="str">
        <f>VLOOKUP(E108,'[1]CH DCPT CẤP HÀNG'!$B:$I,8,0)</f>
        <v>GHN</v>
      </c>
      <c r="W108" s="9">
        <f>IF(COUNTIFS($M$2:$M108,M108,$E$2:$E108,E108)=1,1,0)</f>
        <v>0</v>
      </c>
      <c r="X108" s="9">
        <v>90.855999999999995</v>
      </c>
      <c r="Y108" s="9">
        <v>0.25097045514539018</v>
      </c>
      <c r="Z108" s="9" t="str">
        <f>IF(COUNTIF(K$2:K108,K108)=1,SUMIF(K:K,K108,H:H)/SUMIF(K:K,K108,W:W),"")</f>
        <v/>
      </c>
      <c r="AA108" s="9" t="str">
        <f>IF(COUNTIF($M$2:M108,M108)=1, SUMIF(M:M,M108,X:X), "")</f>
        <v/>
      </c>
      <c r="AB108" s="9" t="str">
        <f>IF(COUNTIF($M$2:M108,M108)=1, SUMIF(M:M,M108,Y:Y), "")</f>
        <v/>
      </c>
    </row>
    <row r="109" spans="1:28" x14ac:dyDescent="0.35">
      <c r="A109" s="5">
        <f ca="1">IF(B109="","",COUNTA($B$2:B109))</f>
        <v>108</v>
      </c>
      <c r="B109" s="6">
        <f t="shared" ca="1" si="6"/>
        <v>46193</v>
      </c>
      <c r="C109" s="5" t="s">
        <v>354</v>
      </c>
      <c r="D109" s="5" t="s">
        <v>355</v>
      </c>
      <c r="E109" s="5" t="s">
        <v>352</v>
      </c>
      <c r="F109" s="5" t="s">
        <v>353</v>
      </c>
      <c r="G109" s="5">
        <v>400</v>
      </c>
      <c r="H109" s="7" t="str">
        <f>IF(COUNTIF($M$2:M109,M109)=1,
SUMIFS($G:$G,$M:$M,M109),
"")</f>
        <v/>
      </c>
      <c r="I109" s="7" t="str">
        <f>IF(E109&lt;&gt;E108,SUMIF(E:E,E109,X:X)," ")</f>
        <v xml:space="preserve"> </v>
      </c>
      <c r="J109" s="8" t="str">
        <f>IF(E109&lt;&gt;E108,SUMIF(E:E,E109,Y:Y)," ")</f>
        <v xml:space="preserve"> </v>
      </c>
      <c r="K109" s="5" t="s">
        <v>36</v>
      </c>
      <c r="L109" s="5" t="s">
        <v>319</v>
      </c>
      <c r="O109" s="9" t="str">
        <f>IF(Q109="","",COUNTIFS($M:$M,M109,$W:$W,"1"))</f>
        <v/>
      </c>
      <c r="P109" s="9" t="s">
        <v>28</v>
      </c>
      <c r="R109" s="5" t="s">
        <v>30</v>
      </c>
      <c r="S109" s="5">
        <v>345</v>
      </c>
      <c r="T109" s="9" t="str">
        <f t="shared" si="7"/>
        <v/>
      </c>
      <c r="V109" s="5" t="str">
        <f>VLOOKUP(E109,'[1]CH DCPT CẤP HÀNG'!$B:$I,8,0)</f>
        <v>GHN</v>
      </c>
      <c r="W109" s="9">
        <f>IF(COUNTIFS($M$2:$M109,M109,$E$2:$E109,E109)=1,1,0)</f>
        <v>0</v>
      </c>
      <c r="X109" s="9">
        <v>128.86000000000001</v>
      </c>
      <c r="Y109" s="9">
        <v>0.30590507538461537</v>
      </c>
      <c r="Z109" s="9" t="str">
        <f>IF(COUNTIF(K$2:K109,K109)=1,SUMIF(K:K,K109,H:H)/SUMIF(K:K,K109,W:W),"")</f>
        <v/>
      </c>
      <c r="AA109" s="9" t="str">
        <f>IF(COUNTIF($M$2:M109,M109)=1, SUMIF(M:M,M109,X:X), "")</f>
        <v/>
      </c>
      <c r="AB109" s="9" t="str">
        <f>IF(COUNTIF($M$2:M109,M109)=1, SUMIF(M:M,M109,Y:Y), "")</f>
        <v/>
      </c>
    </row>
    <row r="110" spans="1:28" x14ac:dyDescent="0.35">
      <c r="A110" s="5">
        <f ca="1">IF(B110="","",COUNTA($B$2:B110))</f>
        <v>109</v>
      </c>
      <c r="B110" s="6">
        <f t="shared" ca="1" si="6"/>
        <v>46193</v>
      </c>
      <c r="C110" s="5" t="s">
        <v>356</v>
      </c>
      <c r="D110" s="5" t="s">
        <v>357</v>
      </c>
      <c r="E110" s="5" t="s">
        <v>358</v>
      </c>
      <c r="F110" s="5" t="s">
        <v>359</v>
      </c>
      <c r="G110" s="5">
        <v>230</v>
      </c>
      <c r="H110" s="7" t="str">
        <f>IF(COUNTIF($M$2:M110,M110)=1,
SUMIFS($G:$G,$M:$M,M110),
"")</f>
        <v/>
      </c>
      <c r="I110" s="7">
        <f>IF(E110&lt;&gt;E109,SUMIF(E:E,E110,X:X)," ")</f>
        <v>317.02299999999997</v>
      </c>
      <c r="J110" s="8">
        <f>IF(E110&lt;&gt;E109,SUMIF(E:E,E110,Y:Y)," ")</f>
        <v>1.0360305049787168</v>
      </c>
      <c r="K110" s="5" t="s">
        <v>36</v>
      </c>
      <c r="L110" s="5" t="s">
        <v>319</v>
      </c>
      <c r="O110" s="9" t="str">
        <f>IF(Q110="","",COUNTIFS($M:$M,M110,$W:$W,"1"))</f>
        <v/>
      </c>
      <c r="P110" s="9" t="s">
        <v>28</v>
      </c>
      <c r="R110" s="5" t="s">
        <v>30</v>
      </c>
      <c r="S110" s="5">
        <v>346</v>
      </c>
      <c r="T110" s="9" t="str">
        <f t="shared" si="7"/>
        <v/>
      </c>
      <c r="V110" s="5" t="str">
        <f>VLOOKUP(E110,'[1]CH DCPT CẤP HÀNG'!$B:$I,8,0)</f>
        <v>GHN</v>
      </c>
      <c r="W110" s="9">
        <f>IF(COUNTIFS($M$2:$M110,M110,$E$2:$E110,E110)=1,1,0)</f>
        <v>0</v>
      </c>
      <c r="X110" s="9">
        <v>79.406999999999982</v>
      </c>
      <c r="Y110" s="9">
        <v>0.2925160619017938</v>
      </c>
      <c r="Z110" s="9" t="str">
        <f>IF(COUNTIF(K$2:K110,K110)=1,SUMIF(K:K,K110,H:H)/SUMIF(K:K,K110,W:W),"")</f>
        <v/>
      </c>
      <c r="AA110" s="9" t="str">
        <f>IF(COUNTIF($M$2:M110,M110)=1, SUMIF(M:M,M110,X:X), "")</f>
        <v/>
      </c>
      <c r="AB110" s="9" t="str">
        <f>IF(COUNTIF($M$2:M110,M110)=1, SUMIF(M:M,M110,Y:Y), "")</f>
        <v/>
      </c>
    </row>
    <row r="111" spans="1:28" x14ac:dyDescent="0.35">
      <c r="A111" s="5">
        <f ca="1">IF(B111="","",COUNTA($B$2:B111))</f>
        <v>110</v>
      </c>
      <c r="B111" s="6">
        <f t="shared" ca="1" si="6"/>
        <v>46193</v>
      </c>
      <c r="C111" s="5" t="s">
        <v>360</v>
      </c>
      <c r="D111" s="5" t="s">
        <v>361</v>
      </c>
      <c r="E111" s="5" t="s">
        <v>358</v>
      </c>
      <c r="F111" s="5" t="s">
        <v>359</v>
      </c>
      <c r="G111" s="5">
        <v>828</v>
      </c>
      <c r="H111" s="7" t="str">
        <f>IF(COUNTIF($M$2:M111,M111)=1,
SUMIFS($G:$G,$M:$M,M111),
"")</f>
        <v/>
      </c>
      <c r="I111" s="7" t="str">
        <f>IF(E111&lt;&gt;E110,SUMIF(E:E,E111,X:X)," ")</f>
        <v xml:space="preserve"> </v>
      </c>
      <c r="J111" s="8" t="str">
        <f>IF(E111&lt;&gt;E110,SUMIF(E:E,E111,Y:Y)," ")</f>
        <v xml:space="preserve"> </v>
      </c>
      <c r="K111" s="5" t="s">
        <v>36</v>
      </c>
      <c r="L111" s="5" t="s">
        <v>319</v>
      </c>
      <c r="O111" s="9" t="str">
        <f>IF(Q111="","",COUNTIFS($M:$M,M111,$W:$W,"1"))</f>
        <v/>
      </c>
      <c r="P111" s="9" t="s">
        <v>28</v>
      </c>
      <c r="R111" s="5" t="s">
        <v>30</v>
      </c>
      <c r="S111" s="5">
        <v>346</v>
      </c>
      <c r="T111" s="9" t="str">
        <f t="shared" si="7"/>
        <v/>
      </c>
      <c r="V111" s="5" t="str">
        <f>VLOOKUP(E111,'[1]CH DCPT CẤP HÀNG'!$B:$I,8,0)</f>
        <v>GHN</v>
      </c>
      <c r="W111" s="9">
        <f>IF(COUNTIFS($M$2:$M111,M111,$E$2:$E111,E111)=1,1,0)</f>
        <v>0</v>
      </c>
      <c r="X111" s="9">
        <v>237.61599999999999</v>
      </c>
      <c r="Y111" s="9">
        <v>0.74351444307692294</v>
      </c>
      <c r="Z111" s="9" t="str">
        <f>IF(COUNTIF(K$2:K111,K111)=1,SUMIF(K:K,K111,H:H)/SUMIF(K:K,K111,W:W),"")</f>
        <v/>
      </c>
      <c r="AA111" s="9" t="str">
        <f>IF(COUNTIF($M$2:M111,M111)=1, SUMIF(M:M,M111,X:X), "")</f>
        <v/>
      </c>
      <c r="AB111" s="9" t="str">
        <f>IF(COUNTIF($M$2:M111,M111)=1, SUMIF(M:M,M111,Y:Y), "")</f>
        <v/>
      </c>
    </row>
    <row r="112" spans="1:28" x14ac:dyDescent="0.35">
      <c r="A112" s="5">
        <f ca="1">IF(B112="","",COUNTA($B$2:B112))</f>
        <v>111</v>
      </c>
      <c r="B112" s="6">
        <f t="shared" ca="1" si="6"/>
        <v>46193</v>
      </c>
      <c r="C112" s="5" t="s">
        <v>362</v>
      </c>
      <c r="D112" s="5" t="s">
        <v>363</v>
      </c>
      <c r="E112" s="5" t="s">
        <v>364</v>
      </c>
      <c r="F112" s="5" t="s">
        <v>365</v>
      </c>
      <c r="G112" s="5">
        <v>420</v>
      </c>
      <c r="H112" s="7" t="str">
        <f>IF(COUNTIF($M$2:M112,M112)=1,
SUMIFS($G:$G,$M:$M,M112),
"")</f>
        <v/>
      </c>
      <c r="I112" s="7">
        <f>IF(E112&lt;&gt;E111,SUMIF(E:E,E112,X:X)," ")</f>
        <v>603.64866666666694</v>
      </c>
      <c r="J112" s="8">
        <f>IF(E112&lt;&gt;E111,SUMIF(E:E,E112,Y:Y)," ")</f>
        <v>1.4885094860705093</v>
      </c>
      <c r="K112" s="5" t="s">
        <v>36</v>
      </c>
      <c r="L112" s="5" t="s">
        <v>319</v>
      </c>
      <c r="O112" s="9" t="str">
        <f>IF(Q112="","",COUNTIFS($M:$M,M112,$W:$W,"1"))</f>
        <v/>
      </c>
      <c r="P112" s="9" t="s">
        <v>28</v>
      </c>
      <c r="R112" s="5" t="s">
        <v>30</v>
      </c>
      <c r="S112" s="5">
        <v>347</v>
      </c>
      <c r="T112" s="9" t="str">
        <f t="shared" si="7"/>
        <v/>
      </c>
      <c r="V112" s="5" t="str">
        <f>VLOOKUP(E112,'[1]CH DCPT CẤP HÀNG'!$B:$I,8,0)</f>
        <v>GHN</v>
      </c>
      <c r="W112" s="9">
        <f>IF(COUNTIFS($M$2:$M112,M112,$E$2:$E112,E112)=1,1,0)</f>
        <v>0</v>
      </c>
      <c r="X112" s="9">
        <v>329.14866666666683</v>
      </c>
      <c r="Y112" s="9">
        <v>0.78482822607050939</v>
      </c>
      <c r="Z112" s="9" t="str">
        <f>IF(COUNTIF(K$2:K112,K112)=1,SUMIF(K:K,K112,H:H)/SUMIF(K:K,K112,W:W),"")</f>
        <v/>
      </c>
      <c r="AA112" s="9" t="str">
        <f>IF(COUNTIF($M$2:M112,M112)=1, SUMIF(M:M,M112,X:X), "")</f>
        <v/>
      </c>
      <c r="AB112" s="9" t="str">
        <f>IF(COUNTIF($M$2:M112,M112)=1, SUMIF(M:M,M112,Y:Y), "")</f>
        <v/>
      </c>
    </row>
    <row r="113" spans="1:28" x14ac:dyDescent="0.35">
      <c r="A113" s="5">
        <f ca="1">IF(B113="","",COUNTA($B$2:B113))</f>
        <v>112</v>
      </c>
      <c r="B113" s="6">
        <f t="shared" ca="1" si="6"/>
        <v>46193</v>
      </c>
      <c r="C113" s="5" t="s">
        <v>366</v>
      </c>
      <c r="D113" s="5" t="s">
        <v>367</v>
      </c>
      <c r="E113" s="5" t="s">
        <v>364</v>
      </c>
      <c r="F113" s="5" t="s">
        <v>365</v>
      </c>
      <c r="G113" s="5">
        <v>766</v>
      </c>
      <c r="H113" s="7" t="str">
        <f>IF(COUNTIF($M$2:M113,M113)=1,
SUMIFS($G:$G,$M:$M,M113),
"")</f>
        <v/>
      </c>
      <c r="I113" s="7" t="str">
        <f>IF(E113&lt;&gt;E112,SUMIF(E:E,E113,X:X)," ")</f>
        <v xml:space="preserve"> </v>
      </c>
      <c r="J113" s="8" t="str">
        <f>IF(E113&lt;&gt;E112,SUMIF(E:E,E113,Y:Y)," ")</f>
        <v xml:space="preserve"> </v>
      </c>
      <c r="K113" s="5" t="s">
        <v>36</v>
      </c>
      <c r="L113" s="5" t="s">
        <v>319</v>
      </c>
      <c r="O113" s="9" t="str">
        <f>IF(Q113="","",COUNTIFS($M:$M,M113,$W:$W,"1"))</f>
        <v/>
      </c>
      <c r="P113" s="9" t="s">
        <v>28</v>
      </c>
      <c r="R113" s="5" t="s">
        <v>30</v>
      </c>
      <c r="S113" s="5">
        <v>347</v>
      </c>
      <c r="T113" s="9" t="str">
        <f t="shared" si="7"/>
        <v/>
      </c>
      <c r="V113" s="5" t="str">
        <f>VLOOKUP(E113,'[1]CH DCPT CẤP HÀNG'!$B:$I,8,0)</f>
        <v>GHN</v>
      </c>
      <c r="W113" s="9">
        <f>IF(COUNTIFS($M$2:$M113,M113,$E$2:$E113,E113)=1,1,0)</f>
        <v>0</v>
      </c>
      <c r="X113" s="9">
        <v>274.50000000000006</v>
      </c>
      <c r="Y113" s="9">
        <v>0.70368125999999998</v>
      </c>
      <c r="Z113" s="9" t="str">
        <f>IF(COUNTIF(K$2:K113,K113)=1,SUMIF(K:K,K113,H:H)/SUMIF(K:K,K113,W:W),"")</f>
        <v/>
      </c>
      <c r="AA113" s="9" t="str">
        <f>IF(COUNTIF($M$2:M113,M113)=1, SUMIF(M:M,M113,X:X), "")</f>
        <v/>
      </c>
      <c r="AB113" s="9" t="str">
        <f>IF(COUNTIF($M$2:M113,M113)=1, SUMIF(M:M,M113,Y:Y), "")</f>
        <v/>
      </c>
    </row>
    <row r="114" spans="1:28" x14ac:dyDescent="0.35">
      <c r="A114" s="5">
        <f ca="1">IF(B114="","",COUNTA($B$2:B114))</f>
        <v>113</v>
      </c>
      <c r="B114" s="6">
        <f t="shared" ca="1" si="6"/>
        <v>46193</v>
      </c>
      <c r="C114" s="5" t="s">
        <v>368</v>
      </c>
      <c r="D114" s="5" t="s">
        <v>369</v>
      </c>
      <c r="E114" s="5" t="s">
        <v>370</v>
      </c>
      <c r="F114" s="5" t="s">
        <v>371</v>
      </c>
      <c r="G114" s="5">
        <v>203</v>
      </c>
      <c r="H114" s="7" t="str">
        <f>IF(COUNTIF($M$2:M114,M114)=1,
SUMIFS($G:$G,$M:$M,M114),
"")</f>
        <v/>
      </c>
      <c r="I114" s="7">
        <f>IF(E114&lt;&gt;E113,SUMIF(E:E,E114,X:X)," ")</f>
        <v>319.41199999999998</v>
      </c>
      <c r="J114" s="8">
        <f>IF(E114&lt;&gt;E113,SUMIF(E:E,E114,Y:Y)," ")</f>
        <v>0.96788126590383627</v>
      </c>
      <c r="K114" s="5" t="s">
        <v>36</v>
      </c>
      <c r="L114" s="5" t="s">
        <v>319</v>
      </c>
      <c r="O114" s="9" t="str">
        <f>IF(Q114="","",COUNTIFS($M:$M,M114,$W:$W,"1"))</f>
        <v/>
      </c>
      <c r="P114" s="9" t="s">
        <v>28</v>
      </c>
      <c r="R114" s="5" t="s">
        <v>30</v>
      </c>
      <c r="S114" s="5">
        <v>348</v>
      </c>
      <c r="T114" s="9" t="str">
        <f t="shared" si="7"/>
        <v/>
      </c>
      <c r="V114" s="5" t="str">
        <f>VLOOKUP(E114,'[1]CH DCPT CẤP HÀNG'!$B:$I,8,0)</f>
        <v>GHN</v>
      </c>
      <c r="W114" s="9">
        <f>IF(COUNTIFS($M$2:$M114,M114,$E$2:$E114,E114)=1,1,0)</f>
        <v>0</v>
      </c>
      <c r="X114" s="9">
        <v>76.448799999999991</v>
      </c>
      <c r="Y114" s="9">
        <v>0.29890901821152865</v>
      </c>
      <c r="Z114" s="9" t="str">
        <f>IF(COUNTIF(K$2:K114,K114)=1,SUMIF(K:K,K114,H:H)/SUMIF(K:K,K114,W:W),"")</f>
        <v/>
      </c>
      <c r="AA114" s="9" t="str">
        <f>IF(COUNTIF($M$2:M114,M114)=1, SUMIF(M:M,M114,X:X), "")</f>
        <v/>
      </c>
      <c r="AB114" s="9" t="str">
        <f>IF(COUNTIF($M$2:M114,M114)=1, SUMIF(M:M,M114,Y:Y), "")</f>
        <v/>
      </c>
    </row>
    <row r="115" spans="1:28" x14ac:dyDescent="0.35">
      <c r="A115" s="5">
        <f ca="1">IF(B115="","",COUNTA($B$2:B115))</f>
        <v>114</v>
      </c>
      <c r="B115" s="6">
        <f t="shared" ca="1" si="6"/>
        <v>46193</v>
      </c>
      <c r="C115" s="5" t="s">
        <v>372</v>
      </c>
      <c r="D115" s="5" t="s">
        <v>373</v>
      </c>
      <c r="E115" s="5" t="s">
        <v>370</v>
      </c>
      <c r="F115" s="5" t="s">
        <v>371</v>
      </c>
      <c r="G115" s="5">
        <v>828</v>
      </c>
      <c r="H115" s="7" t="str">
        <f>IF(COUNTIF($M$2:M115,M115)=1,
SUMIFS($G:$G,$M:$M,M115),
"")</f>
        <v/>
      </c>
      <c r="I115" s="7" t="str">
        <f>IF(E115&lt;&gt;E114,SUMIF(E:E,E115,X:X)," ")</f>
        <v xml:space="preserve"> </v>
      </c>
      <c r="J115" s="8" t="str">
        <f>IF(E115&lt;&gt;E114,SUMIF(E:E,E115,Y:Y)," ")</f>
        <v xml:space="preserve"> </v>
      </c>
      <c r="K115" s="5" t="s">
        <v>36</v>
      </c>
      <c r="L115" s="5" t="s">
        <v>319</v>
      </c>
      <c r="O115" s="9" t="str">
        <f>IF(Q115="","",COUNTIFS($M:$M,M115,$W:$W,"1"))</f>
        <v/>
      </c>
      <c r="P115" s="9" t="s">
        <v>28</v>
      </c>
      <c r="R115" s="5" t="s">
        <v>30</v>
      </c>
      <c r="S115" s="5">
        <v>348</v>
      </c>
      <c r="T115" s="9" t="str">
        <f t="shared" si="7"/>
        <v/>
      </c>
      <c r="V115" s="5" t="str">
        <f>VLOOKUP(E115,'[1]CH DCPT CẤP HÀNG'!$B:$I,8,0)</f>
        <v>GHN</v>
      </c>
      <c r="W115" s="9">
        <f>IF(COUNTIFS($M$2:$M115,M115,$E$2:$E115,E115)=1,1,0)</f>
        <v>0</v>
      </c>
      <c r="X115" s="9">
        <v>242.9632</v>
      </c>
      <c r="Y115" s="9">
        <v>0.66897224769230768</v>
      </c>
      <c r="Z115" s="9" t="str">
        <f>IF(COUNTIF(K$2:K115,K115)=1,SUMIF(K:K,K115,H:H)/SUMIF(K:K,K115,W:W),"")</f>
        <v/>
      </c>
      <c r="AA115" s="9" t="str">
        <f>IF(COUNTIF($M$2:M115,M115)=1, SUMIF(M:M,M115,X:X), "")</f>
        <v/>
      </c>
      <c r="AB115" s="9" t="str">
        <f>IF(COUNTIF($M$2:M115,M115)=1, SUMIF(M:M,M115,Y:Y), "")</f>
        <v/>
      </c>
    </row>
    <row r="116" spans="1:28" x14ac:dyDescent="0.35">
      <c r="A116" s="5">
        <f ca="1">IF(B116="","",COUNTA($B$2:B116))</f>
        <v>115</v>
      </c>
      <c r="B116" s="6">
        <f t="shared" ca="1" si="6"/>
        <v>46193</v>
      </c>
      <c r="C116" s="5" t="s">
        <v>374</v>
      </c>
      <c r="D116" s="5" t="s">
        <v>375</v>
      </c>
      <c r="E116" s="5" t="s">
        <v>376</v>
      </c>
      <c r="F116" s="5" t="s">
        <v>377</v>
      </c>
      <c r="G116" s="5">
        <v>4410</v>
      </c>
      <c r="H116" s="7" t="str">
        <f>IF(COUNTIF($M$2:M116,M116)=1,
SUMIFS($G:$G,$M:$M,M116),
"")</f>
        <v/>
      </c>
      <c r="I116" s="7">
        <f>IF(E116&lt;&gt;E115,SUMIF(E:E,E116,X:X)," ")</f>
        <v>3141.9149733333325</v>
      </c>
      <c r="J116" s="8">
        <f>IF(E116&lt;&gt;E115,SUMIF(E:E,E116,Y:Y)," ")</f>
        <v>10.99919370415618</v>
      </c>
      <c r="K116" s="5" t="s">
        <v>36</v>
      </c>
      <c r="L116" s="5" t="s">
        <v>319</v>
      </c>
      <c r="O116" s="9" t="str">
        <f>IF(Q116="","",COUNTIFS($M:$M,M116,$W:$W,"1"))</f>
        <v/>
      </c>
      <c r="P116" s="9" t="s">
        <v>28</v>
      </c>
      <c r="R116" s="5" t="s">
        <v>31</v>
      </c>
      <c r="S116" s="5">
        <v>349</v>
      </c>
      <c r="T116" s="9" t="str">
        <f t="shared" si="7"/>
        <v/>
      </c>
      <c r="V116" s="5" t="str">
        <f>VLOOKUP(E116,'[1]CH DCPT CẤP HÀNG'!$B:$I,8,0)</f>
        <v>GHN</v>
      </c>
      <c r="W116" s="9">
        <f>IF(COUNTIFS($M$2:$M116,M116,$E$2:$E116,E116)=1,1,0)</f>
        <v>0</v>
      </c>
      <c r="X116" s="9">
        <v>3141.9149733333325</v>
      </c>
      <c r="Y116" s="9">
        <v>10.99919370415618</v>
      </c>
      <c r="Z116" s="9" t="str">
        <f>IF(COUNTIF(K$2:K116,K116)=1,SUMIF(K:K,K116,H:H)/SUMIF(K:K,K116,W:W),"")</f>
        <v/>
      </c>
      <c r="AA116" s="9" t="str">
        <f>IF(COUNTIF($M$2:M116,M116)=1, SUMIF(M:M,M116,X:X), "")</f>
        <v/>
      </c>
      <c r="AB116" s="9" t="str">
        <f>IF(COUNTIF($M$2:M116,M116)=1, SUMIF(M:M,M116,Y:Y), "")</f>
        <v/>
      </c>
    </row>
    <row r="117" spans="1:28" x14ac:dyDescent="0.35">
      <c r="A117" s="5">
        <f ca="1">IF(B117="","",COUNTA($B$2:B117))</f>
        <v>116</v>
      </c>
      <c r="B117" s="6">
        <f t="shared" ca="1" si="6"/>
        <v>46193</v>
      </c>
      <c r="C117" s="5" t="s">
        <v>378</v>
      </c>
      <c r="D117" s="5" t="s">
        <v>379</v>
      </c>
      <c r="E117" s="5" t="s">
        <v>380</v>
      </c>
      <c r="F117" s="5" t="s">
        <v>381</v>
      </c>
      <c r="G117" s="5">
        <v>158</v>
      </c>
      <c r="H117" s="7" t="str">
        <f>IF(COUNTIF($M$2:M117,M117)=1,
SUMIFS($G:$G,$M:$M,M117),
"")</f>
        <v/>
      </c>
      <c r="I117" s="7">
        <f>IF(E117&lt;&gt;E116,SUMIF(E:E,E117,X:X)," ")</f>
        <v>291.30993333333333</v>
      </c>
      <c r="J117" s="8">
        <f>IF(E117&lt;&gt;E116,SUMIF(E:E,E117,Y:Y)," ")</f>
        <v>0.80151793369395974</v>
      </c>
      <c r="K117" s="5" t="s">
        <v>36</v>
      </c>
      <c r="L117" s="5" t="s">
        <v>319</v>
      </c>
      <c r="O117" s="9" t="str">
        <f>IF(Q117="","",COUNTIFS($M:$M,M117,$W:$W,"1"))</f>
        <v/>
      </c>
      <c r="P117" s="9" t="s">
        <v>28</v>
      </c>
      <c r="R117" s="5" t="s">
        <v>30</v>
      </c>
      <c r="S117" s="5">
        <v>350</v>
      </c>
      <c r="T117" s="9" t="str">
        <f t="shared" si="7"/>
        <v/>
      </c>
      <c r="V117" s="5" t="str">
        <f>VLOOKUP(E117,'[1]CH DCPT CẤP HÀNG'!$B:$I,8,0)</f>
        <v>GHN</v>
      </c>
      <c r="W117" s="9">
        <f>IF(COUNTIFS($M$2:$M117,M117,$E$2:$E117,E117)=1,1,0)</f>
        <v>0</v>
      </c>
      <c r="X117" s="9">
        <v>54.573933333333343</v>
      </c>
      <c r="Y117" s="9">
        <v>0.20380946600165212</v>
      </c>
      <c r="Z117" s="9" t="str">
        <f>IF(COUNTIF(K$2:K117,K117)=1,SUMIF(K:K,K117,H:H)/SUMIF(K:K,K117,W:W),"")</f>
        <v/>
      </c>
      <c r="AA117" s="9" t="str">
        <f>IF(COUNTIF($M$2:M117,M117)=1, SUMIF(M:M,M117,X:X), "")</f>
        <v/>
      </c>
      <c r="AB117" s="9" t="str">
        <f>IF(COUNTIF($M$2:M117,M117)=1, SUMIF(M:M,M117,Y:Y), "")</f>
        <v/>
      </c>
    </row>
    <row r="118" spans="1:28" x14ac:dyDescent="0.35">
      <c r="A118" s="5">
        <f ca="1">IF(B118="","",COUNTA($B$2:B118))</f>
        <v>117</v>
      </c>
      <c r="B118" s="6">
        <f t="shared" ca="1" si="6"/>
        <v>46193</v>
      </c>
      <c r="C118" s="5" t="s">
        <v>382</v>
      </c>
      <c r="D118" s="5" t="s">
        <v>383</v>
      </c>
      <c r="E118" s="5" t="s">
        <v>380</v>
      </c>
      <c r="F118" s="5" t="s">
        <v>381</v>
      </c>
      <c r="G118" s="5">
        <v>668</v>
      </c>
      <c r="H118" s="7" t="str">
        <f>IF(COUNTIF($M$2:M118,M118)=1,
SUMIFS($G:$G,$M:$M,M118),
"")</f>
        <v/>
      </c>
      <c r="I118" s="7" t="str">
        <f>IF(E118&lt;&gt;E117,SUMIF(E:E,E118,X:X)," ")</f>
        <v xml:space="preserve"> </v>
      </c>
      <c r="J118" s="8" t="str">
        <f>IF(E118&lt;&gt;E117,SUMIF(E:E,E118,Y:Y)," ")</f>
        <v xml:space="preserve"> </v>
      </c>
      <c r="K118" s="5" t="s">
        <v>36</v>
      </c>
      <c r="L118" s="5" t="s">
        <v>319</v>
      </c>
      <c r="O118" s="9" t="str">
        <f>IF(Q118="","",COUNTIFS($M:$M,M118,$W:$W,"1"))</f>
        <v/>
      </c>
      <c r="P118" s="9" t="s">
        <v>28</v>
      </c>
      <c r="R118" s="5" t="s">
        <v>30</v>
      </c>
      <c r="S118" s="5">
        <v>350</v>
      </c>
      <c r="T118" s="9" t="str">
        <f t="shared" si="7"/>
        <v/>
      </c>
      <c r="V118" s="5" t="str">
        <f>VLOOKUP(E118,'[1]CH DCPT CẤP HÀNG'!$B:$I,8,0)</f>
        <v>GHN</v>
      </c>
      <c r="W118" s="9">
        <f>IF(COUNTIFS($M$2:$M118,M118,$E$2:$E118,E118)=1,1,0)</f>
        <v>0</v>
      </c>
      <c r="X118" s="9">
        <v>236.73599999999999</v>
      </c>
      <c r="Y118" s="9">
        <v>0.59770846769230768</v>
      </c>
      <c r="Z118" s="9" t="str">
        <f>IF(COUNTIF(K$2:K118,K118)=1,SUMIF(K:K,K118,H:H)/SUMIF(K:K,K118,W:W),"")</f>
        <v/>
      </c>
      <c r="AA118" s="9" t="str">
        <f>IF(COUNTIF($M$2:M118,M118)=1, SUMIF(M:M,M118,X:X), "")</f>
        <v/>
      </c>
      <c r="AB118" s="9" t="str">
        <f>IF(COUNTIF($M$2:M118,M118)=1, SUMIF(M:M,M118,Y:Y), "")</f>
        <v/>
      </c>
    </row>
    <row r="119" spans="1:28" x14ac:dyDescent="0.35">
      <c r="A119" s="5">
        <f ca="1">IF(B119="","",COUNTA($B$2:B119))</f>
        <v>118</v>
      </c>
      <c r="B119" s="6">
        <f t="shared" ca="1" si="6"/>
        <v>46193</v>
      </c>
      <c r="C119" s="5" t="s">
        <v>384</v>
      </c>
      <c r="D119" s="5" t="s">
        <v>385</v>
      </c>
      <c r="E119" s="5" t="s">
        <v>386</v>
      </c>
      <c r="F119" s="5" t="s">
        <v>387</v>
      </c>
      <c r="G119" s="5">
        <v>360</v>
      </c>
      <c r="H119" s="7" t="str">
        <f>IF(COUNTIF($M$2:M119,M119)=1,
SUMIFS($G:$G,$M:$M,M119),
"")</f>
        <v/>
      </c>
      <c r="I119" s="7">
        <f>IF(E119&lt;&gt;E118,SUMIF(E:E,E119,X:X)," ")</f>
        <v>514.44786666666664</v>
      </c>
      <c r="J119" s="8">
        <f>IF(E119&lt;&gt;E118,SUMIF(E:E,E119,Y:Y)," ")</f>
        <v>1.3456583223662006</v>
      </c>
      <c r="K119" s="5" t="s">
        <v>36</v>
      </c>
      <c r="L119" s="5" t="s">
        <v>319</v>
      </c>
      <c r="O119" s="9" t="str">
        <f>IF(Q119="","",COUNTIFS($M:$M,M119,$W:$W,"1"))</f>
        <v/>
      </c>
      <c r="P119" s="9" t="s">
        <v>28</v>
      </c>
      <c r="R119" s="5" t="s">
        <v>30</v>
      </c>
      <c r="S119" s="5">
        <v>351</v>
      </c>
      <c r="T119" s="9" t="str">
        <f t="shared" si="7"/>
        <v/>
      </c>
      <c r="V119" s="5" t="str">
        <f>VLOOKUP(E119,'[1]CH DCPT CẤP HÀNG'!$B:$I,8,0)</f>
        <v>GHN</v>
      </c>
      <c r="W119" s="9">
        <f>IF(COUNTIFS($M$2:$M119,M119,$E$2:$E119,E119)=1,1,0)</f>
        <v>0</v>
      </c>
      <c r="X119" s="9">
        <v>129.10786666666667</v>
      </c>
      <c r="Y119" s="9">
        <v>0.39288121621235461</v>
      </c>
      <c r="Z119" s="9" t="str">
        <f>IF(COUNTIF(K$2:K119,K119)=1,SUMIF(K:K,K119,H:H)/SUMIF(K:K,K119,W:W),"")</f>
        <v/>
      </c>
      <c r="AA119" s="9" t="str">
        <f>IF(COUNTIF($M$2:M119,M119)=1, SUMIF(M:M,M119,X:X), "")</f>
        <v/>
      </c>
      <c r="AB119" s="9" t="str">
        <f>IF(COUNTIF($M$2:M119,M119)=1, SUMIF(M:M,M119,Y:Y), "")</f>
        <v/>
      </c>
    </row>
    <row r="120" spans="1:28" x14ac:dyDescent="0.35">
      <c r="A120" s="5">
        <f ca="1">IF(B120="","",COUNTA($B$2:B120))</f>
        <v>119</v>
      </c>
      <c r="B120" s="6">
        <f t="shared" ca="1" si="6"/>
        <v>46193</v>
      </c>
      <c r="C120" s="5" t="s">
        <v>388</v>
      </c>
      <c r="D120" s="5" t="s">
        <v>389</v>
      </c>
      <c r="E120" s="5" t="s">
        <v>386</v>
      </c>
      <c r="F120" s="5" t="s">
        <v>387</v>
      </c>
      <c r="G120" s="5">
        <v>836</v>
      </c>
      <c r="H120" s="7" t="str">
        <f>IF(COUNTIF($M$2:M120,M120)=1,
SUMIFS($G:$G,$M:$M,M120),
"")</f>
        <v/>
      </c>
      <c r="I120" s="7" t="str">
        <f>IF(E120&lt;&gt;E119,SUMIF(E:E,E120,X:X)," ")</f>
        <v xml:space="preserve"> </v>
      </c>
      <c r="J120" s="8" t="str">
        <f>IF(E120&lt;&gt;E119,SUMIF(E:E,E120,Y:Y)," ")</f>
        <v xml:space="preserve"> </v>
      </c>
      <c r="K120" s="5" t="s">
        <v>36</v>
      </c>
      <c r="L120" s="5" t="s">
        <v>319</v>
      </c>
      <c r="O120" s="9" t="str">
        <f>IF(Q120="","",COUNTIFS($M:$M,M120,$W:$W,"1"))</f>
        <v/>
      </c>
      <c r="P120" s="9" t="s">
        <v>28</v>
      </c>
      <c r="R120" s="5" t="s">
        <v>30</v>
      </c>
      <c r="S120" s="5">
        <v>351</v>
      </c>
      <c r="T120" s="9" t="str">
        <f t="shared" si="7"/>
        <v/>
      </c>
      <c r="V120" s="5" t="str">
        <f>VLOOKUP(E120,'[1]CH DCPT CẤP HÀNG'!$B:$I,8,0)</f>
        <v>GHN</v>
      </c>
      <c r="W120" s="9">
        <f>IF(COUNTIFS($M$2:$M120,M120,$E$2:$E120,E120)=1,1,0)</f>
        <v>0</v>
      </c>
      <c r="X120" s="9">
        <v>385.34000000000003</v>
      </c>
      <c r="Y120" s="9">
        <v>0.95277710615384614</v>
      </c>
      <c r="Z120" s="9" t="str">
        <f>IF(COUNTIF(K$2:K120,K120)=1,SUMIF(K:K,K120,H:H)/SUMIF(K:K,K120,W:W),"")</f>
        <v/>
      </c>
      <c r="AA120" s="9" t="str">
        <f>IF(COUNTIF($M$2:M120,M120)=1, SUMIF(M:M,M120,X:X), "")</f>
        <v/>
      </c>
      <c r="AB120" s="9" t="str">
        <f>IF(COUNTIF($M$2:M120,M120)=1, SUMIF(M:M,M120,Y:Y), "")</f>
        <v/>
      </c>
    </row>
    <row r="121" spans="1:28" x14ac:dyDescent="0.35">
      <c r="A121" s="5">
        <f ca="1">IF(B121="","",COUNTA($B$2:B121))</f>
        <v>120</v>
      </c>
      <c r="B121" s="6">
        <f t="shared" ca="1" si="6"/>
        <v>46193</v>
      </c>
      <c r="C121" s="5" t="s">
        <v>390</v>
      </c>
      <c r="D121" s="5" t="s">
        <v>391</v>
      </c>
      <c r="E121" s="5" t="s">
        <v>392</v>
      </c>
      <c r="F121" s="5" t="s">
        <v>393</v>
      </c>
      <c r="G121" s="5">
        <v>129</v>
      </c>
      <c r="H121" s="7" t="str">
        <f>IF(COUNTIF($M$2:M121,M121)=1,
SUMIFS($G:$G,$M:$M,M121),
"")</f>
        <v/>
      </c>
      <c r="I121" s="7">
        <f>IF(E121&lt;&gt;E120,SUMIF(E:E,E121,X:X)," ")</f>
        <v>305.7954666666667</v>
      </c>
      <c r="J121" s="8">
        <f>IF(E121&lt;&gt;E120,SUMIF(E:E,E121,Y:Y)," ")</f>
        <v>0.83832754694871137</v>
      </c>
      <c r="K121" s="5" t="s">
        <v>36</v>
      </c>
      <c r="L121" s="5" t="s">
        <v>319</v>
      </c>
      <c r="O121" s="9" t="str">
        <f>IF(Q121="","",COUNTIFS($M:$M,M121,$W:$W,"1"))</f>
        <v/>
      </c>
      <c r="P121" s="9" t="s">
        <v>28</v>
      </c>
      <c r="R121" s="5" t="s">
        <v>30</v>
      </c>
      <c r="S121" s="5">
        <v>352</v>
      </c>
      <c r="T121" s="9" t="str">
        <f t="shared" si="7"/>
        <v/>
      </c>
      <c r="V121" s="5" t="str">
        <f>VLOOKUP(E121,'[1]CH DCPT CẤP HÀNG'!$B:$I,8,0)</f>
        <v>GHN</v>
      </c>
      <c r="W121" s="9">
        <f>IF(COUNTIFS($M$2:$M121,M121,$E$2:$E121,E121)=1,1,0)</f>
        <v>0</v>
      </c>
      <c r="X121" s="9">
        <v>62.959466666666657</v>
      </c>
      <c r="Y121" s="9">
        <v>0.24393340233332675</v>
      </c>
      <c r="Z121" s="9" t="str">
        <f>IF(COUNTIF(K$2:K121,K121)=1,SUMIF(K:K,K121,H:H)/SUMIF(K:K,K121,W:W),"")</f>
        <v/>
      </c>
      <c r="AA121" s="9" t="str">
        <f>IF(COUNTIF($M$2:M121,M121)=1, SUMIF(M:M,M121,X:X), "")</f>
        <v/>
      </c>
      <c r="AB121" s="9" t="str">
        <f>IF(COUNTIF($M$2:M121,M121)=1, SUMIF(M:M,M121,Y:Y), "")</f>
        <v/>
      </c>
    </row>
    <row r="122" spans="1:28" x14ac:dyDescent="0.35">
      <c r="A122" s="5">
        <f ca="1">IF(B122="","",COUNTA($B$2:B122))</f>
        <v>121</v>
      </c>
      <c r="B122" s="6">
        <f t="shared" ca="1" si="6"/>
        <v>46193</v>
      </c>
      <c r="C122" s="5" t="s">
        <v>394</v>
      </c>
      <c r="D122" s="5" t="s">
        <v>395</v>
      </c>
      <c r="E122" s="5" t="s">
        <v>392</v>
      </c>
      <c r="F122" s="5" t="s">
        <v>393</v>
      </c>
      <c r="G122" s="5">
        <v>674</v>
      </c>
      <c r="H122" s="7" t="str">
        <f>IF(COUNTIF($M$2:M122,M122)=1,
SUMIFS($G:$G,$M:$M,M122),
"")</f>
        <v/>
      </c>
      <c r="I122" s="7" t="str">
        <f>IF(E122&lt;&gt;E121,SUMIF(E:E,E122,X:X)," ")</f>
        <v xml:space="preserve"> </v>
      </c>
      <c r="J122" s="8" t="str">
        <f>IF(E122&lt;&gt;E121,SUMIF(E:E,E122,Y:Y)," ")</f>
        <v xml:space="preserve"> </v>
      </c>
      <c r="K122" s="5" t="s">
        <v>36</v>
      </c>
      <c r="L122" s="5" t="s">
        <v>319</v>
      </c>
      <c r="O122" s="9" t="str">
        <f>IF(Q122="","",COUNTIFS($M:$M,M122,$W:$W,"1"))</f>
        <v/>
      </c>
      <c r="P122" s="9" t="s">
        <v>28</v>
      </c>
      <c r="R122" s="5" t="s">
        <v>30</v>
      </c>
      <c r="S122" s="5">
        <v>352</v>
      </c>
      <c r="T122" s="9" t="str">
        <f t="shared" si="7"/>
        <v/>
      </c>
      <c r="V122" s="5" t="str">
        <f>VLOOKUP(E122,'[1]CH DCPT CẤP HÀNG'!$B:$I,8,0)</f>
        <v>GHN</v>
      </c>
      <c r="W122" s="9">
        <f>IF(COUNTIFS($M$2:$M122,M122,$E$2:$E122,E122)=1,1,0)</f>
        <v>0</v>
      </c>
      <c r="X122" s="9">
        <v>242.83600000000001</v>
      </c>
      <c r="Y122" s="9">
        <v>0.59439414461538465</v>
      </c>
      <c r="Z122" s="9" t="str">
        <f>IF(COUNTIF(K$2:K122,K122)=1,SUMIF(K:K,K122,H:H)/SUMIF(K:K,K122,W:W),"")</f>
        <v/>
      </c>
      <c r="AA122" s="9" t="str">
        <f>IF(COUNTIF($M$2:M122,M122)=1, SUMIF(M:M,M122,X:X), "")</f>
        <v/>
      </c>
      <c r="AB122" s="9" t="str">
        <f>IF(COUNTIF($M$2:M122,M122)=1, SUMIF(M:M,M122,Y:Y), "")</f>
        <v/>
      </c>
    </row>
    <row r="123" spans="1:28" x14ac:dyDescent="0.35">
      <c r="A123" s="5">
        <f ca="1">IF(B123="","",COUNTA($B$2:B123))</f>
        <v>122</v>
      </c>
      <c r="B123" s="6">
        <f t="shared" ca="1" si="6"/>
        <v>46193</v>
      </c>
      <c r="C123" s="5" t="s">
        <v>396</v>
      </c>
      <c r="D123" s="5" t="s">
        <v>397</v>
      </c>
      <c r="E123" s="5" t="s">
        <v>398</v>
      </c>
      <c r="F123" s="5" t="s">
        <v>399</v>
      </c>
      <c r="G123" s="5">
        <v>139</v>
      </c>
      <c r="H123" s="7" t="str">
        <f>IF(COUNTIF($M$2:M123,M123)=1,
SUMIFS($G:$G,$M:$M,M123),
"")</f>
        <v/>
      </c>
      <c r="I123" s="7">
        <f>IF(E123&lt;&gt;E122,SUMIF(E:E,E123,X:X)," ")</f>
        <v>425.23000000000008</v>
      </c>
      <c r="J123" s="8">
        <f>IF(E123&lt;&gt;E122,SUMIF(E:E,E123,Y:Y)," ")</f>
        <v>1.0369541003825731</v>
      </c>
      <c r="K123" s="5" t="s">
        <v>36</v>
      </c>
      <c r="L123" s="5" t="s">
        <v>319</v>
      </c>
      <c r="O123" s="9" t="str">
        <f>IF(Q123="","",COUNTIFS($M:$M,M123,$W:$W,"1"))</f>
        <v/>
      </c>
      <c r="P123" s="9" t="s">
        <v>28</v>
      </c>
      <c r="R123" s="5" t="s">
        <v>30</v>
      </c>
      <c r="S123" s="5">
        <v>353</v>
      </c>
      <c r="T123" s="9" t="str">
        <f t="shared" si="7"/>
        <v/>
      </c>
      <c r="V123" s="5" t="str">
        <f>VLOOKUP(E123,'[1]CH DCPT CẤP HÀNG'!$B:$I,8,0)</f>
        <v>GHN</v>
      </c>
      <c r="W123" s="9">
        <f>IF(COUNTIFS($M$2:$M123,M123,$E$2:$E123,E123)=1,1,0)</f>
        <v>0</v>
      </c>
      <c r="X123" s="9">
        <v>71.090000000000018</v>
      </c>
      <c r="Y123" s="9">
        <v>0.16521025422872679</v>
      </c>
      <c r="Z123" s="9" t="str">
        <f>IF(COUNTIF(K$2:K123,K123)=1,SUMIF(K:K,K123,H:H)/SUMIF(K:K,K123,W:W),"")</f>
        <v/>
      </c>
      <c r="AA123" s="9" t="str">
        <f>IF(COUNTIF($M$2:M123,M123)=1, SUMIF(M:M,M123,X:X), "")</f>
        <v/>
      </c>
      <c r="AB123" s="9" t="str">
        <f>IF(COUNTIF($M$2:M123,M123)=1, SUMIF(M:M,M123,Y:Y), "")</f>
        <v/>
      </c>
    </row>
    <row r="124" spans="1:28" x14ac:dyDescent="0.35">
      <c r="A124" s="5">
        <f ca="1">IF(B124="","",COUNTA($B$2:B124))</f>
        <v>123</v>
      </c>
      <c r="B124" s="6">
        <f t="shared" ca="1" si="6"/>
        <v>46193</v>
      </c>
      <c r="C124" s="5" t="s">
        <v>400</v>
      </c>
      <c r="D124" s="5" t="s">
        <v>401</v>
      </c>
      <c r="E124" s="5" t="s">
        <v>398</v>
      </c>
      <c r="F124" s="5" t="s">
        <v>399</v>
      </c>
      <c r="G124" s="5">
        <v>698</v>
      </c>
      <c r="H124" s="7" t="str">
        <f>IF(COUNTIF($M$2:M124,M124)=1,
SUMIFS($G:$G,$M:$M,M124),
"")</f>
        <v/>
      </c>
      <c r="I124" s="7" t="str">
        <f>IF(E124&lt;&gt;E123,SUMIF(E:E,E124,X:X)," ")</f>
        <v xml:space="preserve"> </v>
      </c>
      <c r="J124" s="8" t="str">
        <f>IF(E124&lt;&gt;E123,SUMIF(E:E,E124,Y:Y)," ")</f>
        <v xml:space="preserve"> </v>
      </c>
      <c r="K124" s="5" t="s">
        <v>36</v>
      </c>
      <c r="L124" s="5" t="s">
        <v>319</v>
      </c>
      <c r="O124" s="9" t="str">
        <f>IF(Q124="","",COUNTIFS($M:$M,M124,$W:$W,"1"))</f>
        <v/>
      </c>
      <c r="P124" s="9" t="s">
        <v>28</v>
      </c>
      <c r="R124" s="5" t="s">
        <v>30</v>
      </c>
      <c r="S124" s="5">
        <v>353</v>
      </c>
      <c r="T124" s="9" t="str">
        <f t="shared" si="7"/>
        <v/>
      </c>
      <c r="V124" s="5" t="str">
        <f>VLOOKUP(E124,'[1]CH DCPT CẤP HÀNG'!$B:$I,8,0)</f>
        <v>GHN</v>
      </c>
      <c r="W124" s="9">
        <f>IF(COUNTIFS($M$2:$M124,M124,$E$2:$E124,E124)=1,1,0)</f>
        <v>0</v>
      </c>
      <c r="X124" s="9">
        <v>354.14000000000004</v>
      </c>
      <c r="Y124" s="9">
        <v>0.87174384615384626</v>
      </c>
      <c r="Z124" s="9" t="str">
        <f>IF(COUNTIF(K$2:K124,K124)=1,SUMIF(K:K,K124,H:H)/SUMIF(K:K,K124,W:W),"")</f>
        <v/>
      </c>
      <c r="AA124" s="9" t="str">
        <f>IF(COUNTIF($M$2:M124,M124)=1, SUMIF(M:M,M124,X:X), "")</f>
        <v/>
      </c>
      <c r="AB124" s="9" t="str">
        <f>IF(COUNTIF($M$2:M124,M124)=1, SUMIF(M:M,M124,Y:Y), "")</f>
        <v/>
      </c>
    </row>
    <row r="125" spans="1:28" x14ac:dyDescent="0.35">
      <c r="A125" s="5">
        <f ca="1">IF(B125="","",COUNTA($B$2:B125))</f>
        <v>124</v>
      </c>
      <c r="B125" s="6">
        <f t="shared" ca="1" si="6"/>
        <v>46193</v>
      </c>
      <c r="C125" s="5" t="s">
        <v>402</v>
      </c>
      <c r="D125" s="5" t="s">
        <v>403</v>
      </c>
      <c r="E125" s="5" t="s">
        <v>404</v>
      </c>
      <c r="F125" s="5" t="s">
        <v>405</v>
      </c>
      <c r="G125" s="5">
        <v>156</v>
      </c>
      <c r="H125" s="7" t="str">
        <f>IF(COUNTIF($M$2:M125,M125)=1,
SUMIFS($G:$G,$M:$M,M125),
"")</f>
        <v/>
      </c>
      <c r="I125" s="7">
        <f>IF(E125&lt;&gt;E124,SUMIF(E:E,E125,X:X)," ")</f>
        <v>365.17253333333332</v>
      </c>
      <c r="J125" s="8">
        <f>IF(E125&lt;&gt;E124,SUMIF(E:E,E125,Y:Y)," ")</f>
        <v>0.90092125852387817</v>
      </c>
      <c r="K125" s="5" t="s">
        <v>36</v>
      </c>
      <c r="L125" s="5" t="s">
        <v>319</v>
      </c>
      <c r="O125" s="9" t="str">
        <f>IF(Q125="","",COUNTIFS($M:$M,M125,$W:$W,"1"))</f>
        <v/>
      </c>
      <c r="P125" s="9" t="s">
        <v>28</v>
      </c>
      <c r="R125" s="5" t="s">
        <v>30</v>
      </c>
      <c r="S125" s="5">
        <v>354</v>
      </c>
      <c r="T125" s="9" t="str">
        <f t="shared" si="7"/>
        <v/>
      </c>
      <c r="V125" s="5" t="str">
        <f>VLOOKUP(E125,'[1]CH DCPT CẤP HÀNG'!$B:$I,8,0)</f>
        <v>GHN</v>
      </c>
      <c r="W125" s="9">
        <f>IF(COUNTIFS($M$2:$M125,M125,$E$2:$E125,E125)=1,1,0)</f>
        <v>0</v>
      </c>
      <c r="X125" s="9">
        <v>75.780533333333338</v>
      </c>
      <c r="Y125" s="9">
        <v>0.21843284621618597</v>
      </c>
      <c r="Z125" s="9" t="str">
        <f>IF(COUNTIF(K$2:K125,K125)=1,SUMIF(K:K,K125,H:H)/SUMIF(K:K,K125,W:W),"")</f>
        <v/>
      </c>
      <c r="AA125" s="9" t="str">
        <f>IF(COUNTIF($M$2:M125,M125)=1, SUMIF(M:M,M125,X:X), "")</f>
        <v/>
      </c>
      <c r="AB125" s="9" t="str">
        <f>IF(COUNTIF($M$2:M125,M125)=1, SUMIF(M:M,M125,Y:Y), "")</f>
        <v/>
      </c>
    </row>
    <row r="126" spans="1:28" x14ac:dyDescent="0.35">
      <c r="A126" s="5">
        <f ca="1">IF(B126="","",COUNTA($B$2:B126))</f>
        <v>125</v>
      </c>
      <c r="B126" s="6">
        <f t="shared" ca="1" si="6"/>
        <v>46193</v>
      </c>
      <c r="C126" s="5" t="s">
        <v>406</v>
      </c>
      <c r="D126" s="5" t="s">
        <v>407</v>
      </c>
      <c r="E126" s="5" t="s">
        <v>404</v>
      </c>
      <c r="F126" s="5" t="s">
        <v>405</v>
      </c>
      <c r="G126" s="5">
        <v>718</v>
      </c>
      <c r="H126" s="7" t="str">
        <f>IF(COUNTIF($M$2:M126,M126)=1,
SUMIFS($G:$G,$M:$M,M126),
"")</f>
        <v/>
      </c>
      <c r="I126" s="7" t="str">
        <f>IF(E126&lt;&gt;E125,SUMIF(E:E,E126,X:X)," ")</f>
        <v xml:space="preserve"> </v>
      </c>
      <c r="J126" s="8" t="str">
        <f>IF(E126&lt;&gt;E125,SUMIF(E:E,E126,Y:Y)," ")</f>
        <v xml:space="preserve"> </v>
      </c>
      <c r="K126" s="5" t="s">
        <v>36</v>
      </c>
      <c r="L126" s="5" t="s">
        <v>319</v>
      </c>
      <c r="O126" s="9" t="str">
        <f>IF(Q126="","",COUNTIFS($M:$M,M126,$W:$W,"1"))</f>
        <v/>
      </c>
      <c r="P126" s="9" t="s">
        <v>28</v>
      </c>
      <c r="R126" s="5" t="s">
        <v>30</v>
      </c>
      <c r="S126" s="5">
        <v>354</v>
      </c>
      <c r="T126" s="9" t="str">
        <f t="shared" si="7"/>
        <v/>
      </c>
      <c r="V126" s="5" t="str">
        <f>VLOOKUP(E126,'[1]CH DCPT CẤP HÀNG'!$B:$I,8,0)</f>
        <v>GHN</v>
      </c>
      <c r="W126" s="9">
        <f>IF(COUNTIFS($M$2:$M126,M126,$E$2:$E126,E126)=1,1,0)</f>
        <v>0</v>
      </c>
      <c r="X126" s="9">
        <v>289.392</v>
      </c>
      <c r="Y126" s="9">
        <v>0.68248841230769219</v>
      </c>
      <c r="Z126" s="9" t="str">
        <f>IF(COUNTIF(K$2:K126,K126)=1,SUMIF(K:K,K126,H:H)/SUMIF(K:K,K126,W:W),"")</f>
        <v/>
      </c>
      <c r="AA126" s="9" t="str">
        <f>IF(COUNTIF($M$2:M126,M126)=1, SUMIF(M:M,M126,X:X), "")</f>
        <v/>
      </c>
      <c r="AB126" s="9" t="str">
        <f>IF(COUNTIF($M$2:M126,M126)=1, SUMIF(M:M,M126,Y:Y), "")</f>
        <v/>
      </c>
    </row>
    <row r="127" spans="1:28" x14ac:dyDescent="0.35">
      <c r="A127" s="5">
        <f ca="1">IF(B127="","",COUNTA($B$2:B127))</f>
        <v>126</v>
      </c>
      <c r="B127" s="6">
        <f t="shared" ca="1" si="6"/>
        <v>46193</v>
      </c>
      <c r="C127" s="5" t="s">
        <v>408</v>
      </c>
      <c r="D127" s="5" t="s">
        <v>409</v>
      </c>
      <c r="E127" s="5" t="s">
        <v>410</v>
      </c>
      <c r="F127" s="5" t="s">
        <v>411</v>
      </c>
      <c r="G127" s="5">
        <v>185</v>
      </c>
      <c r="H127" s="7" t="str">
        <f>IF(COUNTIF($M$2:M127,M127)=1,
SUMIFS($G:$G,$M:$M,M127),
"")</f>
        <v/>
      </c>
      <c r="I127" s="7">
        <f>IF(E127&lt;&gt;E126,SUMIF(E:E,E127,X:X)," ")</f>
        <v>260.72253333333333</v>
      </c>
      <c r="J127" s="8">
        <f>IF(E127&lt;&gt;E126,SUMIF(E:E,E127,Y:Y)," ")</f>
        <v>0.70306289914743259</v>
      </c>
      <c r="K127" s="5" t="s">
        <v>36</v>
      </c>
      <c r="L127" s="5" t="s">
        <v>319</v>
      </c>
      <c r="O127" s="9" t="str">
        <f>IF(Q127="","",COUNTIFS($M:$M,M127,$W:$W,"1"))</f>
        <v/>
      </c>
      <c r="P127" s="9" t="s">
        <v>28</v>
      </c>
      <c r="R127" s="5" t="s">
        <v>30</v>
      </c>
      <c r="S127" s="5">
        <v>355</v>
      </c>
      <c r="T127" s="9" t="str">
        <f t="shared" si="7"/>
        <v/>
      </c>
      <c r="V127" s="5" t="str">
        <f>VLOOKUP(E127,'[1]CH DCPT CẤP HÀNG'!$B:$I,8,0)</f>
        <v>GHN</v>
      </c>
      <c r="W127" s="9">
        <f>IF(COUNTIFS($M$2:$M127,M127,$E$2:$E127,E127)=1,1,0)</f>
        <v>0</v>
      </c>
      <c r="X127" s="9">
        <v>88.127333333333326</v>
      </c>
      <c r="Y127" s="9">
        <v>0.24465274068589415</v>
      </c>
      <c r="Z127" s="9" t="str">
        <f>IF(COUNTIF(K$2:K127,K127)=1,SUMIF(K:K,K127,H:H)/SUMIF(K:K,K127,W:W),"")</f>
        <v/>
      </c>
      <c r="AA127" s="9" t="str">
        <f>IF(COUNTIF($M$2:M127,M127)=1, SUMIF(M:M,M127,X:X), "")</f>
        <v/>
      </c>
      <c r="AB127" s="9" t="str">
        <f>IF(COUNTIF($M$2:M127,M127)=1, SUMIF(M:M,M127,Y:Y), "")</f>
        <v/>
      </c>
    </row>
    <row r="128" spans="1:28" x14ac:dyDescent="0.35">
      <c r="A128" s="5">
        <f ca="1">IF(B128="","",COUNTA($B$2:B128))</f>
        <v>127</v>
      </c>
      <c r="B128" s="6">
        <f t="shared" ca="1" si="6"/>
        <v>46193</v>
      </c>
      <c r="C128" s="5" t="s">
        <v>412</v>
      </c>
      <c r="D128" s="5" t="s">
        <v>413</v>
      </c>
      <c r="E128" s="5" t="s">
        <v>410</v>
      </c>
      <c r="F128" s="5" t="s">
        <v>411</v>
      </c>
      <c r="G128" s="5">
        <v>636</v>
      </c>
      <c r="H128" s="7" t="str">
        <f>IF(COUNTIF($M$2:M128,M128)=1,
SUMIFS($G:$G,$M:$M,M128),
"")</f>
        <v/>
      </c>
      <c r="I128" s="7" t="str">
        <f>IF(E128&lt;&gt;E127,SUMIF(E:E,E128,X:X)," ")</f>
        <v xml:space="preserve"> </v>
      </c>
      <c r="J128" s="8" t="str">
        <f>IF(E128&lt;&gt;E127,SUMIF(E:E,E128,Y:Y)," ")</f>
        <v xml:space="preserve"> </v>
      </c>
      <c r="K128" s="5" t="s">
        <v>36</v>
      </c>
      <c r="L128" s="5" t="s">
        <v>319</v>
      </c>
      <c r="O128" s="9" t="str">
        <f>IF(Q128="","",COUNTIFS($M:$M,M128,$W:$W,"1"))</f>
        <v/>
      </c>
      <c r="P128" s="9" t="s">
        <v>28</v>
      </c>
      <c r="R128" s="5" t="s">
        <v>30</v>
      </c>
      <c r="S128" s="5">
        <v>355</v>
      </c>
      <c r="T128" s="9" t="str">
        <f t="shared" si="7"/>
        <v/>
      </c>
      <c r="V128" s="5" t="str">
        <f>VLOOKUP(E128,'[1]CH DCPT CẤP HÀNG'!$B:$I,8,0)</f>
        <v>GHN</v>
      </c>
      <c r="W128" s="9">
        <f>IF(COUNTIFS($M$2:$M128,M128,$E$2:$E128,E128)=1,1,0)</f>
        <v>0</v>
      </c>
      <c r="X128" s="9">
        <v>172.59519999999998</v>
      </c>
      <c r="Y128" s="9">
        <v>0.45841015846153843</v>
      </c>
      <c r="Z128" s="9" t="str">
        <f>IF(COUNTIF(K$2:K128,K128)=1,SUMIF(K:K,K128,H:H)/SUMIF(K:K,K128,W:W),"")</f>
        <v/>
      </c>
      <c r="AA128" s="9" t="str">
        <f>IF(COUNTIF($M$2:M128,M128)=1, SUMIF(M:M,M128,X:X), "")</f>
        <v/>
      </c>
      <c r="AB128" s="9" t="str">
        <f>IF(COUNTIF($M$2:M128,M128)=1, SUMIF(M:M,M128,Y:Y), "")</f>
        <v/>
      </c>
    </row>
    <row r="129" spans="1:28" x14ac:dyDescent="0.35">
      <c r="A129" s="5">
        <f ca="1">IF(B129="","",COUNTA($B$2:B129))</f>
        <v>128</v>
      </c>
      <c r="B129" s="6">
        <f t="shared" ca="1" si="6"/>
        <v>46193</v>
      </c>
      <c r="C129" s="5" t="s">
        <v>414</v>
      </c>
      <c r="D129" s="5" t="s">
        <v>415</v>
      </c>
      <c r="E129" s="5" t="s">
        <v>416</v>
      </c>
      <c r="F129" s="5" t="s">
        <v>417</v>
      </c>
      <c r="G129" s="5">
        <v>156</v>
      </c>
      <c r="H129" s="7" t="str">
        <f>IF(COUNTIF($M$2:M129,M129)=1,
SUMIFS($G:$G,$M:$M,M129),
"")</f>
        <v/>
      </c>
      <c r="I129" s="7">
        <f>IF(E129&lt;&gt;E128,SUMIF(E:E,E129,X:X)," ")</f>
        <v>361.39659999999998</v>
      </c>
      <c r="J129" s="8">
        <f>IF(E129&lt;&gt;E128,SUMIF(E:E,E129,Y:Y)," ")</f>
        <v>0.91051157538461536</v>
      </c>
      <c r="K129" s="5" t="s">
        <v>36</v>
      </c>
      <c r="L129" s="5" t="s">
        <v>319</v>
      </c>
      <c r="O129" s="9" t="str">
        <f>IF(Q129="","",COUNTIFS($M:$M,M129,$W:$W,"1"))</f>
        <v/>
      </c>
      <c r="P129" s="9" t="s">
        <v>28</v>
      </c>
      <c r="R129" s="5" t="s">
        <v>30</v>
      </c>
      <c r="S129" s="5">
        <v>356</v>
      </c>
      <c r="T129" s="9" t="str">
        <f t="shared" si="7"/>
        <v/>
      </c>
      <c r="V129" s="5" t="str">
        <f>VLOOKUP(E129,'[1]CH DCPT CẤP HÀNG'!$B:$I,8,0)</f>
        <v>GHN</v>
      </c>
      <c r="W129" s="9">
        <f>IF(COUNTIFS($M$2:$M129,M129,$E$2:$E129,E129)=1,1,0)</f>
        <v>0</v>
      </c>
      <c r="X129" s="9">
        <v>75.827799999999982</v>
      </c>
      <c r="Y129" s="9">
        <v>0.18591027692307693</v>
      </c>
      <c r="Z129" s="9" t="str">
        <f>IF(COUNTIF(K$2:K129,K129)=1,SUMIF(K:K,K129,H:H)/SUMIF(K:K,K129,W:W),"")</f>
        <v/>
      </c>
      <c r="AA129" s="9" t="str">
        <f>IF(COUNTIF($M$2:M129,M129)=1, SUMIF(M:M,M129,X:X), "")</f>
        <v/>
      </c>
      <c r="AB129" s="9" t="str">
        <f>IF(COUNTIF($M$2:M129,M129)=1, SUMIF(M:M,M129,Y:Y), "")</f>
        <v/>
      </c>
    </row>
    <row r="130" spans="1:28" x14ac:dyDescent="0.35">
      <c r="A130" s="5">
        <f ca="1">IF(B130="","",COUNTA($B$2:B130))</f>
        <v>129</v>
      </c>
      <c r="B130" s="6">
        <f t="shared" ca="1" si="6"/>
        <v>46193</v>
      </c>
      <c r="C130" s="5" t="s">
        <v>418</v>
      </c>
      <c r="D130" s="5" t="s">
        <v>419</v>
      </c>
      <c r="E130" s="5" t="s">
        <v>416</v>
      </c>
      <c r="F130" s="5" t="s">
        <v>417</v>
      </c>
      <c r="G130" s="5">
        <v>762</v>
      </c>
      <c r="H130" s="7" t="str">
        <f>IF(COUNTIF($M$2:M130,M130)=1,
SUMIFS($G:$G,$M:$M,M130),
"")</f>
        <v/>
      </c>
      <c r="I130" s="7" t="str">
        <f>IF(E130&lt;&gt;E129,SUMIF(E:E,E130,X:X)," ")</f>
        <v xml:space="preserve"> </v>
      </c>
      <c r="J130" s="8" t="str">
        <f>IF(E130&lt;&gt;E129,SUMIF(E:E,E130,Y:Y)," ")</f>
        <v xml:space="preserve"> </v>
      </c>
      <c r="K130" s="5" t="s">
        <v>36</v>
      </c>
      <c r="L130" s="5" t="s">
        <v>319</v>
      </c>
      <c r="O130" s="9" t="str">
        <f>IF(Q130="","",COUNTIFS($M:$M,M130,$W:$W,"1"))</f>
        <v/>
      </c>
      <c r="P130" s="9" t="s">
        <v>28</v>
      </c>
      <c r="R130" s="5" t="s">
        <v>30</v>
      </c>
      <c r="S130" s="5">
        <v>356</v>
      </c>
      <c r="T130" s="9" t="str">
        <f t="shared" si="7"/>
        <v/>
      </c>
      <c r="V130" s="5" t="str">
        <f>VLOOKUP(E130,'[1]CH DCPT CẤP HÀNG'!$B:$I,8,0)</f>
        <v>GHN</v>
      </c>
      <c r="W130" s="9">
        <f>IF(COUNTIFS($M$2:$M130,M130,$E$2:$E130,E130)=1,1,0)</f>
        <v>0</v>
      </c>
      <c r="X130" s="9">
        <v>285.56880000000001</v>
      </c>
      <c r="Y130" s="9">
        <v>0.72460129846153842</v>
      </c>
      <c r="Z130" s="9" t="str">
        <f>IF(COUNTIF(K$2:K130,K130)=1,SUMIF(K:K,K130,H:H)/SUMIF(K:K,K130,W:W),"")</f>
        <v/>
      </c>
      <c r="AA130" s="9" t="str">
        <f>IF(COUNTIF($M$2:M130,M130)=1, SUMIF(M:M,M130,X:X), "")</f>
        <v/>
      </c>
      <c r="AB130" s="9" t="str">
        <f>IF(COUNTIF($M$2:M130,M130)=1, SUMIF(M:M,M130,Y:Y), "")</f>
        <v/>
      </c>
    </row>
    <row r="131" spans="1:28" x14ac:dyDescent="0.35">
      <c r="A131" s="5">
        <f ca="1">IF(B131="","",COUNTA($B$2:B131))</f>
        <v>130</v>
      </c>
      <c r="B131" s="6">
        <f t="shared" ca="1" si="6"/>
        <v>46193</v>
      </c>
      <c r="C131" s="5" t="s">
        <v>420</v>
      </c>
      <c r="D131" s="5" t="s">
        <v>421</v>
      </c>
      <c r="E131" s="5" t="s">
        <v>422</v>
      </c>
      <c r="F131" s="5" t="s">
        <v>423</v>
      </c>
      <c r="G131" s="5">
        <v>225</v>
      </c>
      <c r="H131" s="7" t="str">
        <f>IF(COUNTIF($M$2:M131,M131)=1,
SUMIFS($G:$G,$M:$M,M131),
"")</f>
        <v/>
      </c>
      <c r="I131" s="7">
        <f>IF(E131&lt;&gt;E130,SUMIF(E:E,E131,X:X)," ")</f>
        <v>317.9699333333333</v>
      </c>
      <c r="J131" s="8">
        <f>IF(E131&lt;&gt;E130,SUMIF(E:E,E131,Y:Y)," ")</f>
        <v>0.92342026113897646</v>
      </c>
      <c r="K131" s="5" t="s">
        <v>36</v>
      </c>
      <c r="L131" s="5" t="s">
        <v>319</v>
      </c>
      <c r="O131" s="9" t="str">
        <f>IF(Q131="","",COUNTIFS($M:$M,M131,$W:$W,"1"))</f>
        <v/>
      </c>
      <c r="P131" s="9" t="s">
        <v>28</v>
      </c>
      <c r="R131" s="5" t="s">
        <v>30</v>
      </c>
      <c r="S131" s="5">
        <v>357</v>
      </c>
      <c r="T131" s="9" t="str">
        <f t="shared" si="7"/>
        <v/>
      </c>
      <c r="V131" s="5" t="str">
        <f>VLOOKUP(E131,'[1]CH DCPT CẤP HÀNG'!$B:$I,8,0)</f>
        <v>GHN</v>
      </c>
      <c r="W131" s="9">
        <f>IF(COUNTIFS($M$2:$M131,M131,$E$2:$E131,E131)=1,1,0)</f>
        <v>0</v>
      </c>
      <c r="X131" s="9">
        <v>83.889933333333317</v>
      </c>
      <c r="Y131" s="9">
        <v>0.28733465498513033</v>
      </c>
      <c r="Z131" s="9" t="str">
        <f>IF(COUNTIF(K$2:K131,K131)=1,SUMIF(K:K,K131,H:H)/SUMIF(K:K,K131,W:W),"")</f>
        <v/>
      </c>
      <c r="AA131" s="9" t="str">
        <f>IF(COUNTIF($M$2:M131,M131)=1, SUMIF(M:M,M131,X:X), "")</f>
        <v/>
      </c>
      <c r="AB131" s="9" t="str">
        <f>IF(COUNTIF($M$2:M131,M131)=1, SUMIF(M:M,M131,Y:Y), "")</f>
        <v/>
      </c>
    </row>
    <row r="132" spans="1:28" x14ac:dyDescent="0.35">
      <c r="A132" s="5">
        <f ca="1">IF(B132="","",COUNTA($B$2:B132))</f>
        <v>131</v>
      </c>
      <c r="B132" s="6">
        <f t="shared" ca="1" si="6"/>
        <v>46193</v>
      </c>
      <c r="C132" s="5" t="s">
        <v>424</v>
      </c>
      <c r="D132" s="5" t="s">
        <v>425</v>
      </c>
      <c r="E132" s="5" t="s">
        <v>422</v>
      </c>
      <c r="F132" s="5" t="s">
        <v>423</v>
      </c>
      <c r="G132" s="5">
        <v>768</v>
      </c>
      <c r="H132" s="7" t="str">
        <f>IF(COUNTIF($M$2:M132,M132)=1,
SUMIFS($G:$G,$M:$M,M132),
"")</f>
        <v/>
      </c>
      <c r="I132" s="7" t="str">
        <f>IF(E132&lt;&gt;E131,SUMIF(E:E,E132,X:X)," ")</f>
        <v xml:space="preserve"> </v>
      </c>
      <c r="J132" s="8" t="str">
        <f>IF(E132&lt;&gt;E131,SUMIF(E:E,E132,Y:Y)," ")</f>
        <v xml:space="preserve"> </v>
      </c>
      <c r="K132" s="5" t="s">
        <v>36</v>
      </c>
      <c r="L132" s="5" t="s">
        <v>319</v>
      </c>
      <c r="O132" s="9" t="str">
        <f>IF(Q132="","",COUNTIFS($M:$M,M132,$W:$W,"1"))</f>
        <v/>
      </c>
      <c r="P132" s="9" t="s">
        <v>28</v>
      </c>
      <c r="R132" s="5" t="s">
        <v>30</v>
      </c>
      <c r="S132" s="5">
        <v>357</v>
      </c>
      <c r="T132" s="9" t="str">
        <f t="shared" si="7"/>
        <v/>
      </c>
      <c r="V132" s="5" t="str">
        <f>VLOOKUP(E132,'[1]CH DCPT CẤP HÀNG'!$B:$I,8,0)</f>
        <v>GHN</v>
      </c>
      <c r="W132" s="9">
        <f>IF(COUNTIFS($M$2:$M132,M132,$E$2:$E132,E132)=1,1,0)</f>
        <v>0</v>
      </c>
      <c r="X132" s="9">
        <v>234.08</v>
      </c>
      <c r="Y132" s="9">
        <v>0.63608560615384613</v>
      </c>
      <c r="Z132" s="9" t="str">
        <f>IF(COUNTIF(K$2:K132,K132)=1,SUMIF(K:K,K132,H:H)/SUMIF(K:K,K132,W:W),"")</f>
        <v/>
      </c>
      <c r="AA132" s="9" t="str">
        <f>IF(COUNTIF($M$2:M132,M132)=1, SUMIF(M:M,M132,X:X), "")</f>
        <v/>
      </c>
      <c r="AB132" s="9" t="str">
        <f>IF(COUNTIF($M$2:M132,M132)=1, SUMIF(M:M,M132,Y:Y), "")</f>
        <v/>
      </c>
    </row>
  </sheetData>
  <autoFilter ref="A1:AB132" xr:uid="{E6C3DBFB-DCFF-448E-B328-F433CED893D8}"/>
  <dataConsolidate/>
  <conditionalFormatting sqref="D1">
    <cfRule type="duplicateValues" dxfId="0" priority="1"/>
  </conditionalFormatting>
  <dataValidations count="2">
    <dataValidation showInputMessage="1" showErrorMessage="1" sqref="R1 J2:J132" xr:uid="{1F7D5D53-2167-4123-B87B-8D823BAFE9A2}"/>
    <dataValidation type="list" allowBlank="1" showInputMessage="1" showErrorMessage="1" sqref="V1" xr:uid="{BE0BFC4A-1911-48A1-8192-347DED03A16A}">
      <formula1>"SGW,LOG"</formula1>
    </dataValidation>
  </dataValidation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Nguyễn Viết Cường (TSC-CCƯ-MB)</dc:creator>
  <cp:lastModifiedBy>Nguyễn Viết Cường (TSC-CCƯ-MB)</cp:lastModifiedBy>
  <dcterms:created xsi:type="dcterms:W3CDTF">2026-06-19T15:49:14Z</dcterms:created>
  <dcterms:modified xsi:type="dcterms:W3CDTF">2026-06-19T15:50:00Z</dcterms:modified>
</cp:coreProperties>
</file>