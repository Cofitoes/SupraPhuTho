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ongnv3\Desktop\"/>
    </mc:Choice>
  </mc:AlternateContent>
  <xr:revisionPtr revIDLastSave="0" documentId="13_ncr:1_{FD5894A4-294F-4818-805D-54B5DB982C93}" xr6:coauthVersionLast="47" xr6:coauthVersionMax="47" xr10:uidLastSave="{00000000-0000-0000-0000-000000000000}"/>
  <bookViews>
    <workbookView xWindow="-110" yWindow="-110" windowWidth="19420" windowHeight="10420" xr2:uid="{7D8729E0-53BE-41F7-A4A6-E312750AFCF2}"/>
  </bookViews>
  <sheets>
    <sheet name="Total" sheetId="1" r:id="rId1"/>
  </sheets>
  <externalReferences>
    <externalReference r:id="rId2"/>
  </externalReferences>
  <definedNames>
    <definedName name="_xlnm._FilterDatabase" localSheetId="0" hidden="1">Total!$A$1:$AG$90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90" i="1" l="1"/>
  <c r="AB90" i="1"/>
  <c r="AA90" i="1"/>
  <c r="X90" i="1"/>
  <c r="W90" i="1"/>
  <c r="U90" i="1"/>
  <c r="P90" i="1"/>
  <c r="K90" i="1"/>
  <c r="J90" i="1"/>
  <c r="I90" i="1"/>
  <c r="B90" i="1"/>
  <c r="AC89" i="1"/>
  <c r="AB89" i="1"/>
  <c r="AA89" i="1"/>
  <c r="X89" i="1"/>
  <c r="W89" i="1"/>
  <c r="U89" i="1"/>
  <c r="P89" i="1"/>
  <c r="K89" i="1"/>
  <c r="J89" i="1"/>
  <c r="I89" i="1"/>
  <c r="B89" i="1"/>
  <c r="AC88" i="1"/>
  <c r="AB88" i="1"/>
  <c r="AA88" i="1"/>
  <c r="X88" i="1"/>
  <c r="W88" i="1"/>
  <c r="U88" i="1"/>
  <c r="P88" i="1"/>
  <c r="K88" i="1"/>
  <c r="J88" i="1"/>
  <c r="I88" i="1"/>
  <c r="B88" i="1"/>
  <c r="AC87" i="1"/>
  <c r="AB87" i="1"/>
  <c r="AA87" i="1"/>
  <c r="X87" i="1"/>
  <c r="W87" i="1"/>
  <c r="U87" i="1"/>
  <c r="P87" i="1"/>
  <c r="K87" i="1"/>
  <c r="J87" i="1"/>
  <c r="I87" i="1"/>
  <c r="B87" i="1"/>
  <c r="AC86" i="1"/>
  <c r="AB86" i="1"/>
  <c r="AA86" i="1"/>
  <c r="X86" i="1"/>
  <c r="W86" i="1"/>
  <c r="U86" i="1"/>
  <c r="P86" i="1"/>
  <c r="K86" i="1"/>
  <c r="J86" i="1"/>
  <c r="I86" i="1"/>
  <c r="B86" i="1"/>
  <c r="AC85" i="1"/>
  <c r="AB85" i="1"/>
  <c r="AA85" i="1"/>
  <c r="X85" i="1"/>
  <c r="W85" i="1"/>
  <c r="U85" i="1"/>
  <c r="P85" i="1"/>
  <c r="K85" i="1"/>
  <c r="J85" i="1"/>
  <c r="I85" i="1"/>
  <c r="B85" i="1"/>
  <c r="AC84" i="1"/>
  <c r="AB84" i="1"/>
  <c r="AA84" i="1"/>
  <c r="X84" i="1"/>
  <c r="W84" i="1"/>
  <c r="U84" i="1"/>
  <c r="P84" i="1"/>
  <c r="K84" i="1"/>
  <c r="J84" i="1"/>
  <c r="I84" i="1"/>
  <c r="B84" i="1"/>
  <c r="AC83" i="1"/>
  <c r="AB83" i="1"/>
  <c r="AA83" i="1"/>
  <c r="X83" i="1"/>
  <c r="W83" i="1"/>
  <c r="U83" i="1"/>
  <c r="P83" i="1"/>
  <c r="K83" i="1"/>
  <c r="J83" i="1"/>
  <c r="I83" i="1"/>
  <c r="B83" i="1"/>
  <c r="AC82" i="1"/>
  <c r="AB82" i="1"/>
  <c r="AA82" i="1"/>
  <c r="X82" i="1"/>
  <c r="W82" i="1"/>
  <c r="U82" i="1"/>
  <c r="P82" i="1"/>
  <c r="K82" i="1"/>
  <c r="J82" i="1"/>
  <c r="I82" i="1"/>
  <c r="B82" i="1"/>
  <c r="AC81" i="1"/>
  <c r="AB81" i="1"/>
  <c r="AA81" i="1"/>
  <c r="X81" i="1"/>
  <c r="W81" i="1"/>
  <c r="U81" i="1"/>
  <c r="P81" i="1"/>
  <c r="K81" i="1"/>
  <c r="J81" i="1"/>
  <c r="I81" i="1"/>
  <c r="B81" i="1"/>
  <c r="AC80" i="1"/>
  <c r="AB80" i="1"/>
  <c r="AA80" i="1"/>
  <c r="X80" i="1"/>
  <c r="W80" i="1"/>
  <c r="U80" i="1"/>
  <c r="P80" i="1"/>
  <c r="K80" i="1"/>
  <c r="J80" i="1"/>
  <c r="I80" i="1"/>
  <c r="B80" i="1"/>
  <c r="AC79" i="1"/>
  <c r="AB79" i="1"/>
  <c r="AA79" i="1"/>
  <c r="X79" i="1"/>
  <c r="W79" i="1"/>
  <c r="U79" i="1"/>
  <c r="P79" i="1"/>
  <c r="K79" i="1"/>
  <c r="J79" i="1"/>
  <c r="I79" i="1"/>
  <c r="B79" i="1"/>
  <c r="AC78" i="1"/>
  <c r="AB78" i="1"/>
  <c r="AA78" i="1"/>
  <c r="X78" i="1"/>
  <c r="W78" i="1"/>
  <c r="U78" i="1"/>
  <c r="P78" i="1"/>
  <c r="K78" i="1"/>
  <c r="J78" i="1"/>
  <c r="I78" i="1"/>
  <c r="B78" i="1"/>
  <c r="AC77" i="1"/>
  <c r="AB77" i="1"/>
  <c r="AA77" i="1"/>
  <c r="X77" i="1"/>
  <c r="W77" i="1"/>
  <c r="U77" i="1"/>
  <c r="P77" i="1"/>
  <c r="K77" i="1"/>
  <c r="J77" i="1"/>
  <c r="I77" i="1"/>
  <c r="B77" i="1"/>
  <c r="AC76" i="1"/>
  <c r="AB76" i="1"/>
  <c r="AA76" i="1"/>
  <c r="X76" i="1"/>
  <c r="W76" i="1"/>
  <c r="U76" i="1"/>
  <c r="P76" i="1"/>
  <c r="K76" i="1"/>
  <c r="J76" i="1"/>
  <c r="I76" i="1"/>
  <c r="B76" i="1"/>
  <c r="AC75" i="1"/>
  <c r="AB75" i="1"/>
  <c r="AA75" i="1"/>
  <c r="X75" i="1"/>
  <c r="W75" i="1"/>
  <c r="U75" i="1"/>
  <c r="P75" i="1"/>
  <c r="K75" i="1"/>
  <c r="J75" i="1"/>
  <c r="I75" i="1"/>
  <c r="B75" i="1"/>
  <c r="AC74" i="1"/>
  <c r="AB74" i="1"/>
  <c r="AA74" i="1"/>
  <c r="X74" i="1"/>
  <c r="W74" i="1"/>
  <c r="U74" i="1"/>
  <c r="P74" i="1"/>
  <c r="K74" i="1"/>
  <c r="J74" i="1"/>
  <c r="I74" i="1"/>
  <c r="B74" i="1"/>
  <c r="AC73" i="1"/>
  <c r="AB73" i="1"/>
  <c r="AA73" i="1"/>
  <c r="X73" i="1"/>
  <c r="W73" i="1"/>
  <c r="U73" i="1"/>
  <c r="P73" i="1"/>
  <c r="K73" i="1"/>
  <c r="J73" i="1"/>
  <c r="I73" i="1"/>
  <c r="B73" i="1"/>
  <c r="AC72" i="1"/>
  <c r="AB72" i="1"/>
  <c r="AA72" i="1"/>
  <c r="X72" i="1"/>
  <c r="W72" i="1"/>
  <c r="U72" i="1"/>
  <c r="P72" i="1"/>
  <c r="K72" i="1"/>
  <c r="J72" i="1"/>
  <c r="I72" i="1"/>
  <c r="B72" i="1"/>
  <c r="AC71" i="1"/>
  <c r="AB71" i="1"/>
  <c r="AA71" i="1"/>
  <c r="X71" i="1"/>
  <c r="W71" i="1"/>
  <c r="U71" i="1"/>
  <c r="P71" i="1"/>
  <c r="K71" i="1"/>
  <c r="J71" i="1"/>
  <c r="I71" i="1"/>
  <c r="B71" i="1"/>
  <c r="AC70" i="1"/>
  <c r="AB70" i="1"/>
  <c r="AA70" i="1"/>
  <c r="X70" i="1"/>
  <c r="W70" i="1"/>
  <c r="U70" i="1"/>
  <c r="P70" i="1"/>
  <c r="K70" i="1"/>
  <c r="J70" i="1"/>
  <c r="I70" i="1"/>
  <c r="B70" i="1"/>
  <c r="AC69" i="1"/>
  <c r="AB69" i="1"/>
  <c r="AA69" i="1"/>
  <c r="X69" i="1"/>
  <c r="W69" i="1"/>
  <c r="U69" i="1"/>
  <c r="P69" i="1"/>
  <c r="K69" i="1"/>
  <c r="J69" i="1"/>
  <c r="I69" i="1"/>
  <c r="B69" i="1"/>
  <c r="AC68" i="1"/>
  <c r="AB68" i="1"/>
  <c r="AA68" i="1"/>
  <c r="X68" i="1"/>
  <c r="W68" i="1"/>
  <c r="U68" i="1"/>
  <c r="P68" i="1"/>
  <c r="K68" i="1"/>
  <c r="J68" i="1"/>
  <c r="I68" i="1"/>
  <c r="B68" i="1"/>
  <c r="AC67" i="1"/>
  <c r="AB67" i="1"/>
  <c r="AA67" i="1"/>
  <c r="X67" i="1"/>
  <c r="W67" i="1"/>
  <c r="U67" i="1"/>
  <c r="P67" i="1"/>
  <c r="K67" i="1"/>
  <c r="J67" i="1"/>
  <c r="I67" i="1"/>
  <c r="B67" i="1"/>
  <c r="AC66" i="1"/>
  <c r="AB66" i="1"/>
  <c r="AA66" i="1"/>
  <c r="X66" i="1"/>
  <c r="W66" i="1"/>
  <c r="U66" i="1"/>
  <c r="P66" i="1"/>
  <c r="K66" i="1"/>
  <c r="J66" i="1"/>
  <c r="I66" i="1"/>
  <c r="B66" i="1"/>
  <c r="AC65" i="1"/>
  <c r="AB65" i="1"/>
  <c r="AA65" i="1"/>
  <c r="X65" i="1"/>
  <c r="W65" i="1"/>
  <c r="U65" i="1"/>
  <c r="P65" i="1"/>
  <c r="K65" i="1"/>
  <c r="J65" i="1"/>
  <c r="I65" i="1"/>
  <c r="B65" i="1"/>
  <c r="AC64" i="1"/>
  <c r="AB64" i="1"/>
  <c r="AA64" i="1"/>
  <c r="X64" i="1"/>
  <c r="W64" i="1"/>
  <c r="U64" i="1"/>
  <c r="P64" i="1"/>
  <c r="K64" i="1"/>
  <c r="J64" i="1"/>
  <c r="I64" i="1"/>
  <c r="B64" i="1"/>
  <c r="AC63" i="1"/>
  <c r="AB63" i="1"/>
  <c r="AA63" i="1"/>
  <c r="X63" i="1"/>
  <c r="W63" i="1"/>
  <c r="U63" i="1"/>
  <c r="P63" i="1"/>
  <c r="K63" i="1"/>
  <c r="J63" i="1"/>
  <c r="I63" i="1"/>
  <c r="B63" i="1"/>
  <c r="AC62" i="1"/>
  <c r="AB62" i="1"/>
  <c r="AA62" i="1"/>
  <c r="X62" i="1"/>
  <c r="W62" i="1"/>
  <c r="U62" i="1"/>
  <c r="P62" i="1"/>
  <c r="K62" i="1"/>
  <c r="J62" i="1"/>
  <c r="I62" i="1"/>
  <c r="B62" i="1"/>
  <c r="AC61" i="1"/>
  <c r="AB61" i="1"/>
  <c r="AA61" i="1"/>
  <c r="X61" i="1"/>
  <c r="W61" i="1"/>
  <c r="U61" i="1"/>
  <c r="P61" i="1"/>
  <c r="K61" i="1"/>
  <c r="J61" i="1"/>
  <c r="I61" i="1"/>
  <c r="B61" i="1"/>
  <c r="AC60" i="1"/>
  <c r="AB60" i="1"/>
  <c r="AA60" i="1"/>
  <c r="X60" i="1"/>
  <c r="W60" i="1"/>
  <c r="U60" i="1"/>
  <c r="P60" i="1"/>
  <c r="K60" i="1"/>
  <c r="J60" i="1"/>
  <c r="I60" i="1"/>
  <c r="B60" i="1"/>
  <c r="AC59" i="1"/>
  <c r="AB59" i="1"/>
  <c r="AA59" i="1"/>
  <c r="X59" i="1"/>
  <c r="W59" i="1"/>
  <c r="U59" i="1"/>
  <c r="P59" i="1"/>
  <c r="K59" i="1"/>
  <c r="J59" i="1"/>
  <c r="I59" i="1"/>
  <c r="B59" i="1"/>
  <c r="AC58" i="1"/>
  <c r="AB58" i="1"/>
  <c r="AA58" i="1"/>
  <c r="X58" i="1"/>
  <c r="W58" i="1"/>
  <c r="U58" i="1"/>
  <c r="P58" i="1"/>
  <c r="K58" i="1"/>
  <c r="J58" i="1"/>
  <c r="I58" i="1"/>
  <c r="B58" i="1"/>
  <c r="AC57" i="1"/>
  <c r="AB57" i="1"/>
  <c r="AA57" i="1"/>
  <c r="X57" i="1"/>
  <c r="W57" i="1"/>
  <c r="U57" i="1"/>
  <c r="P57" i="1"/>
  <c r="K57" i="1"/>
  <c r="J57" i="1"/>
  <c r="I57" i="1"/>
  <c r="B57" i="1"/>
  <c r="AC56" i="1"/>
  <c r="AB56" i="1"/>
  <c r="AA56" i="1"/>
  <c r="X56" i="1"/>
  <c r="W56" i="1"/>
  <c r="U56" i="1"/>
  <c r="P56" i="1"/>
  <c r="K56" i="1"/>
  <c r="J56" i="1"/>
  <c r="I56" i="1"/>
  <c r="B56" i="1"/>
  <c r="AC55" i="1"/>
  <c r="AB55" i="1"/>
  <c r="AA55" i="1"/>
  <c r="X55" i="1"/>
  <c r="W55" i="1"/>
  <c r="U55" i="1"/>
  <c r="P55" i="1"/>
  <c r="K55" i="1"/>
  <c r="J55" i="1"/>
  <c r="I55" i="1"/>
  <c r="B55" i="1"/>
  <c r="AC54" i="1"/>
  <c r="AB54" i="1"/>
  <c r="AA54" i="1"/>
  <c r="X54" i="1"/>
  <c r="W54" i="1"/>
  <c r="U54" i="1"/>
  <c r="P54" i="1"/>
  <c r="K54" i="1"/>
  <c r="J54" i="1"/>
  <c r="I54" i="1"/>
  <c r="B54" i="1"/>
  <c r="AC53" i="1"/>
  <c r="AB53" i="1"/>
  <c r="AA53" i="1"/>
  <c r="X53" i="1"/>
  <c r="W53" i="1"/>
  <c r="U53" i="1"/>
  <c r="P53" i="1"/>
  <c r="K53" i="1"/>
  <c r="J53" i="1"/>
  <c r="I53" i="1"/>
  <c r="B53" i="1"/>
  <c r="AC52" i="1"/>
  <c r="AB52" i="1"/>
  <c r="AA52" i="1"/>
  <c r="X52" i="1"/>
  <c r="W52" i="1"/>
  <c r="U52" i="1"/>
  <c r="P52" i="1"/>
  <c r="K52" i="1"/>
  <c r="J52" i="1"/>
  <c r="I52" i="1"/>
  <c r="B52" i="1"/>
  <c r="AC51" i="1"/>
  <c r="AB51" i="1"/>
  <c r="AA51" i="1"/>
  <c r="X51" i="1"/>
  <c r="W51" i="1"/>
  <c r="U51" i="1"/>
  <c r="P51" i="1"/>
  <c r="K51" i="1"/>
  <c r="J51" i="1"/>
  <c r="I51" i="1"/>
  <c r="B51" i="1"/>
  <c r="AC50" i="1"/>
  <c r="AB50" i="1"/>
  <c r="AA50" i="1"/>
  <c r="X50" i="1"/>
  <c r="W50" i="1"/>
  <c r="U50" i="1"/>
  <c r="P50" i="1"/>
  <c r="K50" i="1"/>
  <c r="J50" i="1"/>
  <c r="I50" i="1"/>
  <c r="B50" i="1"/>
  <c r="AC49" i="1"/>
  <c r="AB49" i="1"/>
  <c r="AA49" i="1"/>
  <c r="X49" i="1"/>
  <c r="W49" i="1"/>
  <c r="U49" i="1"/>
  <c r="P49" i="1"/>
  <c r="K49" i="1"/>
  <c r="J49" i="1"/>
  <c r="I49" i="1"/>
  <c r="B49" i="1"/>
  <c r="AC48" i="1"/>
  <c r="AB48" i="1"/>
  <c r="AA48" i="1"/>
  <c r="X48" i="1"/>
  <c r="W48" i="1"/>
  <c r="U48" i="1"/>
  <c r="P48" i="1"/>
  <c r="K48" i="1"/>
  <c r="J48" i="1"/>
  <c r="I48" i="1"/>
  <c r="B48" i="1"/>
  <c r="AC47" i="1"/>
  <c r="AB47" i="1"/>
  <c r="AA47" i="1"/>
  <c r="X47" i="1"/>
  <c r="W47" i="1"/>
  <c r="U47" i="1"/>
  <c r="P47" i="1"/>
  <c r="K47" i="1"/>
  <c r="J47" i="1"/>
  <c r="I47" i="1"/>
  <c r="B47" i="1"/>
  <c r="AC46" i="1"/>
  <c r="AB46" i="1"/>
  <c r="AA46" i="1"/>
  <c r="X46" i="1"/>
  <c r="W46" i="1"/>
  <c r="U46" i="1"/>
  <c r="P46" i="1"/>
  <c r="K46" i="1"/>
  <c r="J46" i="1"/>
  <c r="I46" i="1"/>
  <c r="B46" i="1"/>
  <c r="AC45" i="1"/>
  <c r="AB45" i="1"/>
  <c r="AA45" i="1"/>
  <c r="X45" i="1"/>
  <c r="W45" i="1"/>
  <c r="U45" i="1"/>
  <c r="P45" i="1"/>
  <c r="K45" i="1"/>
  <c r="J45" i="1"/>
  <c r="I45" i="1"/>
  <c r="B45" i="1"/>
  <c r="AC44" i="1"/>
  <c r="AB44" i="1"/>
  <c r="AA44" i="1"/>
  <c r="X44" i="1"/>
  <c r="W44" i="1"/>
  <c r="U44" i="1"/>
  <c r="P44" i="1"/>
  <c r="K44" i="1"/>
  <c r="J44" i="1"/>
  <c r="I44" i="1"/>
  <c r="B44" i="1"/>
  <c r="AC43" i="1"/>
  <c r="AB43" i="1"/>
  <c r="AA43" i="1"/>
  <c r="X43" i="1"/>
  <c r="W43" i="1"/>
  <c r="U43" i="1"/>
  <c r="P43" i="1"/>
  <c r="K43" i="1"/>
  <c r="J43" i="1"/>
  <c r="I43" i="1"/>
  <c r="B43" i="1"/>
  <c r="AC42" i="1"/>
  <c r="AB42" i="1"/>
  <c r="AA42" i="1"/>
  <c r="X42" i="1"/>
  <c r="W42" i="1"/>
  <c r="U42" i="1"/>
  <c r="P42" i="1"/>
  <c r="K42" i="1"/>
  <c r="J42" i="1"/>
  <c r="I42" i="1"/>
  <c r="B42" i="1"/>
  <c r="AC41" i="1"/>
  <c r="AB41" i="1"/>
  <c r="AA41" i="1"/>
  <c r="X41" i="1"/>
  <c r="W41" i="1"/>
  <c r="U41" i="1"/>
  <c r="P41" i="1"/>
  <c r="K41" i="1"/>
  <c r="J41" i="1"/>
  <c r="I41" i="1"/>
  <c r="B41" i="1"/>
  <c r="AC40" i="1"/>
  <c r="AB40" i="1"/>
  <c r="AA40" i="1"/>
  <c r="X40" i="1"/>
  <c r="W40" i="1"/>
  <c r="U40" i="1"/>
  <c r="P40" i="1"/>
  <c r="K40" i="1"/>
  <c r="J40" i="1"/>
  <c r="I40" i="1"/>
  <c r="B40" i="1"/>
  <c r="AC39" i="1"/>
  <c r="AB39" i="1"/>
  <c r="AA39" i="1"/>
  <c r="X39" i="1"/>
  <c r="W39" i="1"/>
  <c r="U39" i="1"/>
  <c r="P39" i="1"/>
  <c r="K39" i="1"/>
  <c r="J39" i="1"/>
  <c r="I39" i="1"/>
  <c r="B39" i="1"/>
  <c r="AC38" i="1"/>
  <c r="AB38" i="1"/>
  <c r="AA38" i="1"/>
  <c r="X38" i="1"/>
  <c r="W38" i="1"/>
  <c r="U38" i="1"/>
  <c r="P38" i="1"/>
  <c r="K38" i="1"/>
  <c r="J38" i="1"/>
  <c r="I38" i="1"/>
  <c r="B38" i="1"/>
  <c r="AC37" i="1"/>
  <c r="AB37" i="1"/>
  <c r="AA37" i="1"/>
  <c r="X37" i="1"/>
  <c r="W37" i="1"/>
  <c r="U37" i="1"/>
  <c r="P37" i="1"/>
  <c r="K37" i="1"/>
  <c r="J37" i="1"/>
  <c r="I37" i="1"/>
  <c r="B37" i="1"/>
  <c r="AC36" i="1"/>
  <c r="AB36" i="1"/>
  <c r="AA36" i="1"/>
  <c r="X36" i="1"/>
  <c r="W36" i="1"/>
  <c r="U36" i="1"/>
  <c r="P36" i="1"/>
  <c r="K36" i="1"/>
  <c r="J36" i="1"/>
  <c r="I36" i="1"/>
  <c r="B36" i="1"/>
  <c r="AC35" i="1"/>
  <c r="AB35" i="1"/>
  <c r="AA35" i="1"/>
  <c r="X35" i="1"/>
  <c r="W35" i="1"/>
  <c r="U35" i="1"/>
  <c r="P35" i="1"/>
  <c r="K35" i="1"/>
  <c r="J35" i="1"/>
  <c r="I35" i="1"/>
  <c r="B35" i="1"/>
  <c r="AC34" i="1"/>
  <c r="AB34" i="1"/>
  <c r="AA34" i="1"/>
  <c r="X34" i="1"/>
  <c r="W34" i="1"/>
  <c r="U34" i="1"/>
  <c r="P34" i="1"/>
  <c r="K34" i="1"/>
  <c r="J34" i="1"/>
  <c r="I34" i="1"/>
  <c r="B34" i="1"/>
  <c r="AC33" i="1"/>
  <c r="AB33" i="1"/>
  <c r="AA33" i="1"/>
  <c r="X33" i="1"/>
  <c r="W33" i="1"/>
  <c r="U33" i="1"/>
  <c r="P33" i="1"/>
  <c r="K33" i="1"/>
  <c r="J33" i="1"/>
  <c r="I33" i="1"/>
  <c r="B33" i="1"/>
  <c r="AC32" i="1"/>
  <c r="AB32" i="1"/>
  <c r="AA32" i="1"/>
  <c r="X32" i="1"/>
  <c r="W32" i="1"/>
  <c r="U32" i="1"/>
  <c r="P32" i="1"/>
  <c r="K32" i="1"/>
  <c r="J32" i="1"/>
  <c r="I32" i="1"/>
  <c r="B32" i="1"/>
  <c r="AC31" i="1"/>
  <c r="AB31" i="1"/>
  <c r="AA31" i="1"/>
  <c r="X31" i="1"/>
  <c r="W31" i="1"/>
  <c r="U31" i="1"/>
  <c r="P31" i="1"/>
  <c r="K31" i="1"/>
  <c r="J31" i="1"/>
  <c r="I31" i="1"/>
  <c r="B31" i="1"/>
  <c r="AC30" i="1"/>
  <c r="AB30" i="1"/>
  <c r="AA30" i="1"/>
  <c r="X30" i="1"/>
  <c r="W30" i="1"/>
  <c r="U30" i="1"/>
  <c r="P30" i="1"/>
  <c r="K30" i="1"/>
  <c r="J30" i="1"/>
  <c r="I30" i="1"/>
  <c r="B30" i="1"/>
  <c r="AC29" i="1"/>
  <c r="AB29" i="1"/>
  <c r="AA29" i="1"/>
  <c r="X29" i="1"/>
  <c r="W29" i="1"/>
  <c r="U29" i="1"/>
  <c r="P29" i="1"/>
  <c r="K29" i="1"/>
  <c r="J29" i="1"/>
  <c r="I29" i="1"/>
  <c r="B29" i="1"/>
  <c r="AC28" i="1"/>
  <c r="AB28" i="1"/>
  <c r="AA28" i="1"/>
  <c r="X28" i="1"/>
  <c r="W28" i="1"/>
  <c r="U28" i="1"/>
  <c r="P28" i="1"/>
  <c r="K28" i="1"/>
  <c r="J28" i="1"/>
  <c r="I28" i="1"/>
  <c r="B28" i="1"/>
  <c r="AC27" i="1"/>
  <c r="AB27" i="1"/>
  <c r="AA27" i="1"/>
  <c r="X27" i="1"/>
  <c r="W27" i="1"/>
  <c r="U27" i="1"/>
  <c r="P27" i="1"/>
  <c r="K27" i="1"/>
  <c r="J27" i="1"/>
  <c r="I27" i="1"/>
  <c r="B27" i="1"/>
  <c r="AC26" i="1"/>
  <c r="AB26" i="1"/>
  <c r="AA26" i="1"/>
  <c r="X26" i="1"/>
  <c r="W26" i="1"/>
  <c r="U26" i="1"/>
  <c r="P26" i="1"/>
  <c r="K26" i="1"/>
  <c r="J26" i="1"/>
  <c r="I26" i="1"/>
  <c r="B26" i="1"/>
  <c r="AC25" i="1"/>
  <c r="AB25" i="1"/>
  <c r="AA25" i="1"/>
  <c r="X25" i="1"/>
  <c r="W25" i="1"/>
  <c r="U25" i="1"/>
  <c r="P25" i="1"/>
  <c r="K25" i="1"/>
  <c r="J25" i="1"/>
  <c r="I25" i="1"/>
  <c r="B25" i="1"/>
  <c r="AC24" i="1"/>
  <c r="AB24" i="1"/>
  <c r="AA24" i="1"/>
  <c r="X24" i="1"/>
  <c r="W24" i="1"/>
  <c r="U24" i="1"/>
  <c r="P24" i="1"/>
  <c r="K24" i="1"/>
  <c r="J24" i="1"/>
  <c r="I24" i="1"/>
  <c r="B24" i="1"/>
  <c r="AC23" i="1"/>
  <c r="AB23" i="1"/>
  <c r="AA23" i="1"/>
  <c r="X23" i="1"/>
  <c r="W23" i="1"/>
  <c r="U23" i="1"/>
  <c r="P23" i="1"/>
  <c r="K23" i="1"/>
  <c r="J23" i="1"/>
  <c r="I23" i="1"/>
  <c r="B23" i="1"/>
  <c r="AC22" i="1"/>
  <c r="AB22" i="1"/>
  <c r="AA22" i="1"/>
  <c r="X22" i="1"/>
  <c r="W22" i="1"/>
  <c r="U22" i="1"/>
  <c r="P22" i="1"/>
  <c r="K22" i="1"/>
  <c r="J22" i="1"/>
  <c r="I22" i="1"/>
  <c r="B22" i="1"/>
  <c r="AC21" i="1"/>
  <c r="AB21" i="1"/>
  <c r="AA21" i="1"/>
  <c r="X21" i="1"/>
  <c r="W21" i="1"/>
  <c r="U21" i="1"/>
  <c r="P21" i="1"/>
  <c r="K21" i="1"/>
  <c r="J21" i="1"/>
  <c r="I21" i="1"/>
  <c r="B21" i="1"/>
  <c r="AC20" i="1"/>
  <c r="AB20" i="1"/>
  <c r="AA20" i="1"/>
  <c r="X20" i="1"/>
  <c r="W20" i="1"/>
  <c r="U20" i="1"/>
  <c r="P20" i="1"/>
  <c r="K20" i="1"/>
  <c r="J20" i="1"/>
  <c r="I20" i="1"/>
  <c r="B20" i="1"/>
  <c r="AC19" i="1"/>
  <c r="AB19" i="1"/>
  <c r="AA19" i="1"/>
  <c r="X19" i="1"/>
  <c r="W19" i="1"/>
  <c r="U19" i="1"/>
  <c r="P19" i="1"/>
  <c r="K19" i="1"/>
  <c r="J19" i="1"/>
  <c r="I19" i="1"/>
  <c r="B19" i="1"/>
  <c r="AC18" i="1"/>
  <c r="AB18" i="1"/>
  <c r="AA18" i="1"/>
  <c r="X18" i="1"/>
  <c r="W18" i="1"/>
  <c r="U18" i="1"/>
  <c r="P18" i="1"/>
  <c r="K18" i="1"/>
  <c r="J18" i="1"/>
  <c r="I18" i="1"/>
  <c r="B18" i="1"/>
  <c r="AC17" i="1"/>
  <c r="AB17" i="1"/>
  <c r="AA17" i="1"/>
  <c r="X17" i="1"/>
  <c r="W17" i="1"/>
  <c r="U17" i="1"/>
  <c r="P17" i="1"/>
  <c r="K17" i="1"/>
  <c r="J17" i="1"/>
  <c r="I17" i="1"/>
  <c r="B17" i="1"/>
  <c r="AC16" i="1"/>
  <c r="AB16" i="1"/>
  <c r="AA16" i="1"/>
  <c r="X16" i="1"/>
  <c r="W16" i="1"/>
  <c r="U16" i="1"/>
  <c r="P16" i="1"/>
  <c r="K16" i="1"/>
  <c r="J16" i="1"/>
  <c r="I16" i="1"/>
  <c r="B16" i="1"/>
  <c r="AC15" i="1"/>
  <c r="AB15" i="1"/>
  <c r="AA15" i="1"/>
  <c r="X15" i="1"/>
  <c r="W15" i="1"/>
  <c r="U15" i="1"/>
  <c r="P15" i="1"/>
  <c r="K15" i="1"/>
  <c r="J15" i="1"/>
  <c r="I15" i="1"/>
  <c r="B15" i="1"/>
  <c r="AC14" i="1"/>
  <c r="AB14" i="1"/>
  <c r="AA14" i="1"/>
  <c r="X14" i="1"/>
  <c r="W14" i="1"/>
  <c r="U14" i="1"/>
  <c r="P14" i="1"/>
  <c r="K14" i="1"/>
  <c r="J14" i="1"/>
  <c r="I14" i="1"/>
  <c r="B14" i="1"/>
  <c r="AC13" i="1"/>
  <c r="AB13" i="1"/>
  <c r="AA13" i="1"/>
  <c r="X13" i="1"/>
  <c r="W13" i="1"/>
  <c r="U13" i="1"/>
  <c r="P13" i="1"/>
  <c r="K13" i="1"/>
  <c r="J13" i="1"/>
  <c r="I13" i="1"/>
  <c r="B13" i="1"/>
  <c r="AC12" i="1"/>
  <c r="AB12" i="1"/>
  <c r="AA12" i="1"/>
  <c r="X12" i="1"/>
  <c r="W12" i="1"/>
  <c r="U12" i="1"/>
  <c r="P12" i="1"/>
  <c r="K12" i="1"/>
  <c r="J12" i="1"/>
  <c r="I12" i="1"/>
  <c r="B12" i="1"/>
  <c r="AC11" i="1"/>
  <c r="AB11" i="1"/>
  <c r="AA11" i="1"/>
  <c r="X11" i="1"/>
  <c r="W11" i="1"/>
  <c r="U11" i="1"/>
  <c r="P11" i="1"/>
  <c r="K11" i="1"/>
  <c r="J11" i="1"/>
  <c r="I11" i="1"/>
  <c r="B11" i="1"/>
  <c r="AC10" i="1"/>
  <c r="AB10" i="1"/>
  <c r="AA10" i="1"/>
  <c r="X10" i="1"/>
  <c r="W10" i="1"/>
  <c r="U10" i="1"/>
  <c r="P10" i="1"/>
  <c r="K10" i="1"/>
  <c r="J10" i="1"/>
  <c r="I10" i="1"/>
  <c r="B10" i="1"/>
  <c r="AC9" i="1"/>
  <c r="AB9" i="1"/>
  <c r="AA9" i="1"/>
  <c r="X9" i="1"/>
  <c r="W9" i="1"/>
  <c r="U9" i="1"/>
  <c r="P9" i="1"/>
  <c r="K9" i="1"/>
  <c r="J9" i="1"/>
  <c r="I9" i="1"/>
  <c r="B9" i="1"/>
  <c r="AC8" i="1"/>
  <c r="AB8" i="1"/>
  <c r="AA8" i="1"/>
  <c r="X8" i="1"/>
  <c r="W8" i="1"/>
  <c r="U8" i="1"/>
  <c r="P8" i="1"/>
  <c r="K8" i="1"/>
  <c r="J8" i="1"/>
  <c r="I8" i="1"/>
  <c r="B8" i="1"/>
  <c r="AC7" i="1"/>
  <c r="AB7" i="1"/>
  <c r="AA7" i="1"/>
  <c r="X7" i="1"/>
  <c r="W7" i="1"/>
  <c r="U7" i="1"/>
  <c r="P7" i="1"/>
  <c r="K7" i="1"/>
  <c r="J7" i="1"/>
  <c r="I7" i="1"/>
  <c r="B7" i="1"/>
  <c r="AC6" i="1"/>
  <c r="AB6" i="1"/>
  <c r="AA6" i="1"/>
  <c r="X6" i="1"/>
  <c r="W6" i="1"/>
  <c r="U6" i="1"/>
  <c r="P6" i="1"/>
  <c r="K6" i="1"/>
  <c r="J6" i="1"/>
  <c r="I6" i="1"/>
  <c r="B6" i="1"/>
  <c r="AC5" i="1"/>
  <c r="AB5" i="1"/>
  <c r="AA5" i="1"/>
  <c r="X5" i="1"/>
  <c r="W5" i="1"/>
  <c r="U5" i="1"/>
  <c r="P5" i="1"/>
  <c r="K5" i="1"/>
  <c r="J5" i="1"/>
  <c r="I5" i="1"/>
  <c r="B5" i="1"/>
  <c r="AC4" i="1"/>
  <c r="AB4" i="1"/>
  <c r="AA4" i="1"/>
  <c r="X4" i="1"/>
  <c r="W4" i="1"/>
  <c r="U4" i="1"/>
  <c r="P4" i="1"/>
  <c r="K4" i="1"/>
  <c r="J4" i="1"/>
  <c r="I4" i="1"/>
  <c r="B4" i="1"/>
  <c r="AC3" i="1"/>
  <c r="AB3" i="1"/>
  <c r="AA3" i="1"/>
  <c r="X3" i="1"/>
  <c r="W3" i="1"/>
  <c r="U3" i="1"/>
  <c r="P3" i="1"/>
  <c r="K3" i="1"/>
  <c r="J3" i="1"/>
  <c r="I3" i="1"/>
  <c r="B3" i="1"/>
  <c r="AC2" i="1"/>
  <c r="AB2" i="1"/>
  <c r="X2" i="1"/>
  <c r="W2" i="1"/>
  <c r="U2" i="1"/>
  <c r="P2" i="1"/>
  <c r="K2" i="1"/>
  <c r="J2" i="1"/>
  <c r="I2" i="1"/>
  <c r="B2" i="1"/>
  <c r="A5" i="1" l="1"/>
  <c r="A3" i="1"/>
  <c r="A4" i="1"/>
  <c r="AA2" i="1"/>
  <c r="A2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90" i="1"/>
</calcChain>
</file>

<file path=xl/sharedStrings.xml><?xml version="1.0" encoding="utf-8"?>
<sst xmlns="http://schemas.openxmlformats.org/spreadsheetml/2006/main" count="765" uniqueCount="331">
  <si>
    <t>STT</t>
  </si>
  <si>
    <t>Ngày xuất</t>
  </si>
  <si>
    <t>Số SO</t>
  </si>
  <si>
    <t>Số DO</t>
  </si>
  <si>
    <t xml:space="preserve">Mã siêu thị </t>
  </si>
  <si>
    <t>Tên siêu thị</t>
  </si>
  <si>
    <t>Qty</t>
  </si>
  <si>
    <t>Tổng PCS/Mã chuyến</t>
  </si>
  <si>
    <t>Weight (kg)</t>
  </si>
  <si>
    <t>Volume up (m3)</t>
  </si>
  <si>
    <t>Tỉnh</t>
  </si>
  <si>
    <t>Quận</t>
  </si>
  <si>
    <t>Mã giờ</t>
  </si>
  <si>
    <t>Giờ nhận hàng</t>
  </si>
  <si>
    <t>Số điểm giao</t>
  </si>
  <si>
    <t>Tổng số kiện xe</t>
  </si>
  <si>
    <t>Trọng tải</t>
  </si>
  <si>
    <t>Ghi chú</t>
  </si>
  <si>
    <t>Chẵn</t>
  </si>
  <si>
    <t>Gợi ý lot sau</t>
  </si>
  <si>
    <t>Ghi chú 2</t>
  </si>
  <si>
    <t>Đơn vị vận tải</t>
  </si>
  <si>
    <t>Count</t>
  </si>
  <si>
    <t>Weight</t>
  </si>
  <si>
    <t>Volume</t>
  </si>
  <si>
    <t>PCS/DROP/Tỉnh</t>
  </si>
  <si>
    <t>KG/Lot</t>
  </si>
  <si>
    <t>CBM/Lot</t>
  </si>
  <si>
    <t/>
  </si>
  <si>
    <t>1392</t>
  </si>
  <si>
    <t>1391</t>
  </si>
  <si>
    <t>SOWINSAL1272525</t>
  </si>
  <si>
    <t>7078668105</t>
  </si>
  <si>
    <t>2ANC</t>
  </si>
  <si>
    <t>WM+ PTO Khu 21, Vạn Xuân</t>
  </si>
  <si>
    <t>T. Phú Thọ</t>
  </si>
  <si>
    <t>H. Tam Nông</t>
  </si>
  <si>
    <t>SOWINSAL1282008</t>
  </si>
  <si>
    <t>7078725741</t>
  </si>
  <si>
    <t>SOWINSAL1272461</t>
  </si>
  <si>
    <t>7078669214</t>
  </si>
  <si>
    <t>5891</t>
  </si>
  <si>
    <t>WM+ PTO Khu 23 Vạn Xuân</t>
  </si>
  <si>
    <t>SOWINSAL1281919</t>
  </si>
  <si>
    <t>7078729402</t>
  </si>
  <si>
    <t>SOWINSAL1272488</t>
  </si>
  <si>
    <t>7078666756</t>
  </si>
  <si>
    <t>6871</t>
  </si>
  <si>
    <t>WM+ PTO 58 Hồ Thiên Hương</t>
  </si>
  <si>
    <t>SOWINSAL1282091</t>
  </si>
  <si>
    <t>7078730304</t>
  </si>
  <si>
    <t>SOWINSAL1272536</t>
  </si>
  <si>
    <t>7078669310</t>
  </si>
  <si>
    <t>2AFF</t>
  </si>
  <si>
    <t>WM+ PTO Khu 5, Xuân Lộc</t>
  </si>
  <si>
    <t>H. Thanh Thủy</t>
  </si>
  <si>
    <t>SOWINSAL1282116</t>
  </si>
  <si>
    <t>7078732266</t>
  </si>
  <si>
    <t>SOWINSAL1272435</t>
  </si>
  <si>
    <t>7078662972</t>
  </si>
  <si>
    <t>2AIU</t>
  </si>
  <si>
    <t>WM+ PTO Khu 14, Đào Xá</t>
  </si>
  <si>
    <t>SOWINSAL1281954</t>
  </si>
  <si>
    <t>7078730834</t>
  </si>
  <si>
    <t>SOWINSAL1272537</t>
  </si>
  <si>
    <t>7078669247</t>
  </si>
  <si>
    <t>2APX</t>
  </si>
  <si>
    <t>WM+ PTO Khu Phố, TT Thanh Thủy</t>
  </si>
  <si>
    <t>SOWINSAL1281915</t>
  </si>
  <si>
    <t>7078731226</t>
  </si>
  <si>
    <t>SOWINSAL1272613</t>
  </si>
  <si>
    <t>7078669157</t>
  </si>
  <si>
    <t>2ALI</t>
  </si>
  <si>
    <t>WM+ PTO Khu 1, Bảo Yên</t>
  </si>
  <si>
    <t>SOWINSAL1282120</t>
  </si>
  <si>
    <t>7078732416</t>
  </si>
  <si>
    <t>SOWINSAL1272544</t>
  </si>
  <si>
    <t>7078668106</t>
  </si>
  <si>
    <t>2BO6</t>
  </si>
  <si>
    <t>WM+ PTO Khu 11, Tu Vũ</t>
  </si>
  <si>
    <t>SOWINSAL1282030</t>
  </si>
  <si>
    <t>7078732465</t>
  </si>
  <si>
    <t>SOWINSAL1272620</t>
  </si>
  <si>
    <t>7078669060</t>
  </si>
  <si>
    <t>2BWV</t>
  </si>
  <si>
    <t>WM+ PTO Khu 2, Tu Vũ</t>
  </si>
  <si>
    <t>SOWINSAL1281926</t>
  </si>
  <si>
    <t>7078731555</t>
  </si>
  <si>
    <t>SOWINSAL1272561</t>
  </si>
  <si>
    <t>7078668006</t>
  </si>
  <si>
    <t>2AKU</t>
  </si>
  <si>
    <t>WM+ PTO Khu 4, Đoan Hạ</t>
  </si>
  <si>
    <t>SOWINSAL1281914</t>
  </si>
  <si>
    <t>7078730758</t>
  </si>
  <si>
    <t>SOWINSAL1272468</t>
  </si>
  <si>
    <t>7078667896</t>
  </si>
  <si>
    <t>6178</t>
  </si>
  <si>
    <t>WM+ PTO Khu 22 Hoàng Xá</t>
  </si>
  <si>
    <t>SOWINSAL1282005</t>
  </si>
  <si>
    <t>7078731176</t>
  </si>
  <si>
    <t>SOWINSAL1272616</t>
  </si>
  <si>
    <t>7078668008</t>
  </si>
  <si>
    <t>2BY6</t>
  </si>
  <si>
    <t>WM+ PTO Khu 3, Thanh Thủy</t>
  </si>
  <si>
    <t>SOWINSAL1272614</t>
  </si>
  <si>
    <t>7078669105</t>
  </si>
  <si>
    <t>2BU7</t>
  </si>
  <si>
    <t>WM+ PTO Quyết Tiến, Cự Đồng</t>
  </si>
  <si>
    <t>SOWINSAL1282034</t>
  </si>
  <si>
    <t>7078732259</t>
  </si>
  <si>
    <t>SOWINSAL1272578</t>
  </si>
  <si>
    <t>7078662999</t>
  </si>
  <si>
    <t>2ALC</t>
  </si>
  <si>
    <t>WM+ PTO Tân Hương, Hương Cần</t>
  </si>
  <si>
    <t>SOWINSAL1272539</t>
  </si>
  <si>
    <t>7078668275</t>
  </si>
  <si>
    <t>2BDE</t>
  </si>
  <si>
    <t>WM+ PTO Đề Ngữ, Yên Sơn</t>
  </si>
  <si>
    <t>H. Thanh Sơn</t>
  </si>
  <si>
    <t>SOWINSAL1282028</t>
  </si>
  <si>
    <t>7078732399</t>
  </si>
  <si>
    <t>SOWINSAL1272496</t>
  </si>
  <si>
    <t>7078668924</t>
  </si>
  <si>
    <t>2ASC</t>
  </si>
  <si>
    <t>WM+ PTO Xóm Dẹ 1, Văn Miếu</t>
  </si>
  <si>
    <t>SOWINSAL1281961</t>
  </si>
  <si>
    <t>7078731865</t>
  </si>
  <si>
    <t>SOWINSAL1272542</t>
  </si>
  <si>
    <t>7078669263</t>
  </si>
  <si>
    <t>2BHV</t>
  </si>
  <si>
    <t>WM+ PTO Đống Cả, Xuân Đài</t>
  </si>
  <si>
    <t>SOWINSAL1282029</t>
  </si>
  <si>
    <t>7078732258</t>
  </si>
  <si>
    <t>SOWINSAL1272437</t>
  </si>
  <si>
    <t>7078667500</t>
  </si>
  <si>
    <t>2AMP</t>
  </si>
  <si>
    <t>WM+ PTO 28 Phố Vàng</t>
  </si>
  <si>
    <t>SOWINSAL1282021</t>
  </si>
  <si>
    <t>7078730907</t>
  </si>
  <si>
    <t>SOWINSAL1272471</t>
  </si>
  <si>
    <t>7078666278</t>
  </si>
  <si>
    <t>6240</t>
  </si>
  <si>
    <t>WM+ PTO Hùng Nhĩ, Thanh Sơn</t>
  </si>
  <si>
    <t>SOWINSAL1282006</t>
  </si>
  <si>
    <t>7078732033</t>
  </si>
  <si>
    <t>SOWINSAL1272518</t>
  </si>
  <si>
    <t>7078668336</t>
  </si>
  <si>
    <t>6090</t>
  </si>
  <si>
    <t>WM+ PTO 191B Ba Mỏ</t>
  </si>
  <si>
    <t>SOWINSAL1282063</t>
  </si>
  <si>
    <t>7078730944</t>
  </si>
  <si>
    <t>SOWINSAL1272499</t>
  </si>
  <si>
    <t>7078668769</t>
  </si>
  <si>
    <t>2BGF</t>
  </si>
  <si>
    <t>WM+ PTO Khu 10, Xuân Lũng</t>
  </si>
  <si>
    <t>H. Lâm Thao</t>
  </si>
  <si>
    <t>SOWINSAL1272438</t>
  </si>
  <si>
    <t>7078668321</t>
  </si>
  <si>
    <t>2BBO</t>
  </si>
  <si>
    <t>WM+ PTO Khu 2, Xuân Lũng</t>
  </si>
  <si>
    <t>SOWINSAL1282027</t>
  </si>
  <si>
    <t>7078731905</t>
  </si>
  <si>
    <t>SOWINSAL1272557</t>
  </si>
  <si>
    <t>7078668214</t>
  </si>
  <si>
    <t>6540</t>
  </si>
  <si>
    <t>WM+ PTO Khu 12, TT Lâm Thao</t>
  </si>
  <si>
    <t>SOWINSAL1282081</t>
  </si>
  <si>
    <t>7078732083</t>
  </si>
  <si>
    <t>SOWINSAL1272532</t>
  </si>
  <si>
    <t>7078668592</t>
  </si>
  <si>
    <t>5905</t>
  </si>
  <si>
    <t>WM+ PTO 26 Âu Cơ</t>
  </si>
  <si>
    <t>SOWINSAL1282062</t>
  </si>
  <si>
    <t>7078731090</t>
  </si>
  <si>
    <t>SOWINSAL1272549</t>
  </si>
  <si>
    <t>7078669264</t>
  </si>
  <si>
    <t>2BX9</t>
  </si>
  <si>
    <t>WM+ PTO Khu 15, Dục Mỹ</t>
  </si>
  <si>
    <t>SOWINSAL1272523</t>
  </si>
  <si>
    <t>7078667708</t>
  </si>
  <si>
    <t>6338</t>
  </si>
  <si>
    <t>WM+ PTO Cao Xá, Lâm Thao</t>
  </si>
  <si>
    <t>SOWINSAL1281998</t>
  </si>
  <si>
    <t>7078732225</t>
  </si>
  <si>
    <t>SOWINSAL1272593</t>
  </si>
  <si>
    <t>7078668755</t>
  </si>
  <si>
    <t>2BW8</t>
  </si>
  <si>
    <t>WM+ PTO Khu 1, Bản Nguyên</t>
  </si>
  <si>
    <t>SOWINSAL1282038</t>
  </si>
  <si>
    <t>7078732448</t>
  </si>
  <si>
    <t>SOWINSAL1272407</t>
  </si>
  <si>
    <t>7078667232</t>
  </si>
  <si>
    <t>2AKG</t>
  </si>
  <si>
    <t>WM+ PTO Khu 5, Tứ Xã</t>
  </si>
  <si>
    <t>SOWINSAL1281958</t>
  </si>
  <si>
    <t>7078730221</t>
  </si>
  <si>
    <t>SOWINSAL1272481</t>
  </si>
  <si>
    <t>7078668678</t>
  </si>
  <si>
    <t>6562</t>
  </si>
  <si>
    <t>WM+ PTO 235-235B TT Hùng Sơn</t>
  </si>
  <si>
    <t>SOWINSAL1282082</t>
  </si>
  <si>
    <t>7078732511</t>
  </si>
  <si>
    <t>TP. Việt Trì</t>
  </si>
  <si>
    <t>SOWINSAL1272572</t>
  </si>
  <si>
    <t>7078669155</t>
  </si>
  <si>
    <t>6529</t>
  </si>
  <si>
    <t>WM+ PTO 545 Trần Phú</t>
  </si>
  <si>
    <t>SOWINSAL1281995</t>
  </si>
  <si>
    <t>7078732295</t>
  </si>
  <si>
    <t>SOWINSAL1272591</t>
  </si>
  <si>
    <t>7078667372</t>
  </si>
  <si>
    <t>6513</t>
  </si>
  <si>
    <t>WM+ PTO 12 Tổ 5 Trần Phú</t>
  </si>
  <si>
    <t>SOWINSAL1281994</t>
  </si>
  <si>
    <t>7078731869</t>
  </si>
  <si>
    <t>SOWINSAL1272607</t>
  </si>
  <si>
    <t>7078669059</t>
  </si>
  <si>
    <t>3643</t>
  </si>
  <si>
    <t>WM+ PTO Khu Tân An, Tân Dân</t>
  </si>
  <si>
    <t>SOWINSAL1281981</t>
  </si>
  <si>
    <t>7078732415</t>
  </si>
  <si>
    <t>SOWINSAL1272608</t>
  </si>
  <si>
    <t>7078669406</t>
  </si>
  <si>
    <t>2BFK</t>
  </si>
  <si>
    <t>WM+ PTO 192-194 Trần Phú, Việt Trì</t>
  </si>
  <si>
    <t>SOWINSAL1281971</t>
  </si>
  <si>
    <t>7078731867</t>
  </si>
  <si>
    <t>SOWINSAL1272566</t>
  </si>
  <si>
    <t>7078669343</t>
  </si>
  <si>
    <t>3993</t>
  </si>
  <si>
    <t>WM+ PTO 66 Hàn Thuyên</t>
  </si>
  <si>
    <t>SOWINSAL1281984</t>
  </si>
  <si>
    <t>7078732294</t>
  </si>
  <si>
    <t>SOWINSAL1272558</t>
  </si>
  <si>
    <t>7078665012</t>
  </si>
  <si>
    <t>2AB9</t>
  </si>
  <si>
    <t>WM+ PTO 35 Hà Chương</t>
  </si>
  <si>
    <t>SOWINSAL1281941</t>
  </si>
  <si>
    <t>7078724572</t>
  </si>
  <si>
    <t>SOWINSAL1272627</t>
  </si>
  <si>
    <t>7078668693</t>
  </si>
  <si>
    <t>6045</t>
  </si>
  <si>
    <t>WM+ PTO 476 Châu Phong</t>
  </si>
  <si>
    <t>SOWINSAL1281967</t>
  </si>
  <si>
    <t>7078732398</t>
  </si>
  <si>
    <t>SOWINSAL1272420</t>
  </si>
  <si>
    <t>7078668555</t>
  </si>
  <si>
    <t>6460</t>
  </si>
  <si>
    <t>WM+ PTO Đồng Gia, Việt Trì</t>
  </si>
  <si>
    <t>SOWINSAL1281965</t>
  </si>
  <si>
    <t>7078732383</t>
  </si>
  <si>
    <t>SOWINSAL1272609</t>
  </si>
  <si>
    <t>7078669329</t>
  </si>
  <si>
    <t>3435</t>
  </si>
  <si>
    <t>WM+ PTO 130 Lê Quý Đôn</t>
  </si>
  <si>
    <t>SOWINSAL1281929</t>
  </si>
  <si>
    <t>7078731894</t>
  </si>
  <si>
    <t>SOWINSAL1278933</t>
  </si>
  <si>
    <t>7078699941</t>
  </si>
  <si>
    <t>1564</t>
  </si>
  <si>
    <t>WM VCP PTO Việt Trì</t>
  </si>
  <si>
    <t>SOWINSAL1272560</t>
  </si>
  <si>
    <t>7078669265</t>
  </si>
  <si>
    <t>2AJJ</t>
  </si>
  <si>
    <t>WM+ PTO 439 Tiên Dung</t>
  </si>
  <si>
    <t>SOWINSAL1281968</t>
  </si>
  <si>
    <t>7078732292</t>
  </si>
  <si>
    <t>SOWINSAL1272589</t>
  </si>
  <si>
    <t>7078667975</t>
  </si>
  <si>
    <t>3685</t>
  </si>
  <si>
    <t xml:space="preserve">WM+ PTO 1343 Hùng Vương </t>
  </si>
  <si>
    <t>SOWINSAL1281983</t>
  </si>
  <si>
    <t>7078732384</t>
  </si>
  <si>
    <t>SOWINSAL1272563</t>
  </si>
  <si>
    <t>7078669327</t>
  </si>
  <si>
    <t>3407</t>
  </si>
  <si>
    <t>WM+ PTO 1250 Hùng Vương</t>
  </si>
  <si>
    <t>SOWINSAL1281974</t>
  </si>
  <si>
    <t>7078731147</t>
  </si>
  <si>
    <t>SOWINSAL1272599</t>
  </si>
  <si>
    <t>7078663000</t>
  </si>
  <si>
    <t>2CFX</t>
  </si>
  <si>
    <t>WM+ PTO 965 Hùng Vương</t>
  </si>
  <si>
    <t>SOWINSAL1282118</t>
  </si>
  <si>
    <t>7078725275</t>
  </si>
  <si>
    <t>SOWINSAL1272567</t>
  </si>
  <si>
    <t>7078667370</t>
  </si>
  <si>
    <t>4093</t>
  </si>
  <si>
    <t>WM+ PTO Tổ 26A Hai Bà Trưng</t>
  </si>
  <si>
    <t>SOWINSAL1281985</t>
  </si>
  <si>
    <t>7078731173</t>
  </si>
  <si>
    <t>SOWINSAL1272564</t>
  </si>
  <si>
    <t>7078668784</t>
  </si>
  <si>
    <t>3464</t>
  </si>
  <si>
    <t>WM+ PTO Thành Công, Việt Trì</t>
  </si>
  <si>
    <t>SOWINSAL1281975</t>
  </si>
  <si>
    <t>7078724596</t>
  </si>
  <si>
    <t>SOWINSAL1272590</t>
  </si>
  <si>
    <t>7078663226</t>
  </si>
  <si>
    <t>6434</t>
  </si>
  <si>
    <t>WM+ PTO 107 Bạch Hạc</t>
  </si>
  <si>
    <t>SOWINSAL1281993</t>
  </si>
  <si>
    <t>7078725267</t>
  </si>
  <si>
    <t>SOWINSAL1272626</t>
  </si>
  <si>
    <t>7078669407</t>
  </si>
  <si>
    <t>2AU9</t>
  </si>
  <si>
    <t>WM+ PTO Băng 1, Nguyễn Tất Thành</t>
  </si>
  <si>
    <t>SOWINSAL1281962</t>
  </si>
  <si>
    <t>7078732255</t>
  </si>
  <si>
    <t>BKS</t>
  </si>
  <si>
    <t>Tên Tài Xế</t>
  </si>
  <si>
    <t>SĐT</t>
  </si>
  <si>
    <t>Ghi Chú</t>
  </si>
  <si>
    <t>14H02061</t>
  </si>
  <si>
    <t>Đặng Quốc Thuỷ</t>
  </si>
  <si>
    <t>0378175629</t>
  </si>
  <si>
    <t>NCC</t>
  </si>
  <si>
    <t>Xe 1</t>
  </si>
  <si>
    <t>88C18301</t>
  </si>
  <si>
    <t>Hoàng Minh Chiến</t>
  </si>
  <si>
    <t>0786282283</t>
  </si>
  <si>
    <t>29K07963</t>
  </si>
  <si>
    <t>Nguyễn Xuân Nghiêm</t>
  </si>
  <si>
    <t>0965994983</t>
  </si>
  <si>
    <t>xe 3</t>
  </si>
  <si>
    <t>xe 4</t>
  </si>
  <si>
    <t>xe 2</t>
  </si>
  <si>
    <t>14H04044</t>
  </si>
  <si>
    <t>Nguyễn Xuân Tư</t>
  </si>
  <si>
    <t xml:space="preserve"> 0328969494 </t>
  </si>
  <si>
    <t>Số kiện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</si>
</sst>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0"/>
      <name val="Aptos"/>
      <family val="2"/>
    </font>
    <font>
      <b/>
      <sz val="10"/>
      <color theme="1"/>
      <name val="Aptos"/>
      <family val="2"/>
    </font>
    <font>
      <sz val="9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1" fontId="5" fillId="2" borderId="2" xfId="0" quotePrefix="1" applyNumberFormat="1" applyFont="1" applyFill="1" applyBorder="1" applyAlignment="1">
      <alignment vertical="center" wrapText="1"/>
    </xf>
    <xf numFmtId="2" fontId="4" fillId="2" borderId="3" xfId="0" quotePrefix="1" applyNumberFormat="1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1" fontId="5" fillId="2" borderId="3" xfId="0" quotePrefix="1" applyNumberFormat="1" applyFont="1" applyFill="1" applyBorder="1" applyAlignment="1">
      <alignment vertical="center" wrapText="1"/>
    </xf>
    <xf numFmtId="1" fontId="5" fillId="2" borderId="3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1" fontId="5" fillId="3" borderId="1" xfId="0" quotePrefix="1" applyNumberFormat="1" applyFont="1" applyFill="1" applyBorder="1" applyAlignment="1">
      <alignment vertical="center" wrapText="1"/>
    </xf>
    <xf numFmtId="2" fontId="4" fillId="3" borderId="1" xfId="0" quotePrefix="1" applyNumberFormat="1" applyFont="1" applyFill="1" applyBorder="1" applyAlignment="1">
      <alignment vertical="center"/>
    </xf>
    <xf numFmtId="20" fontId="4" fillId="3" borderId="1" xfId="0" applyNumberFormat="1" applyFont="1" applyFill="1" applyBorder="1" applyAlignment="1">
      <alignment vertical="center"/>
    </xf>
    <xf numFmtId="1" fontId="5" fillId="3" borderId="1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quotePrefix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" fontId="5" fillId="0" borderId="2" xfId="0" quotePrefix="1" applyNumberFormat="1" applyFont="1" applyBorder="1" applyAlignment="1">
      <alignment vertical="center" wrapText="1"/>
    </xf>
    <xf numFmtId="2" fontId="4" fillId="0" borderId="3" xfId="0" quotePrefix="1" applyNumberFormat="1" applyFont="1" applyBorder="1" applyAlignment="1">
      <alignment vertical="center"/>
    </xf>
    <xf numFmtId="1" fontId="5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C%20Ph&#250;%20Th&#7885;\FILE%20G&#7888;C\LO&#803;C%20SI&#202;U%20C&#194;&#769;P%20VIPPRO%20!!.xlsb" TargetMode="External"/><Relationship Id="rId1" Type="http://schemas.openxmlformats.org/officeDocument/2006/relationships/externalLinkPath" Target="file:///D:\DC%20Ph&#250;%20Th&#7885;\FILE%20G&#7888;C\LO&#803;C%20SI&#202;U%20C&#194;&#769;P%20VIPPRO%20!!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ọng tải xe"/>
      <sheetName val="CHKK"/>
      <sheetName val="Data Sếp Gửi"/>
      <sheetName val="CH DCPT CẤP HÀNG"/>
      <sheetName val="SEARCH_ENGINE"/>
      <sheetName val="DATA THÔ"/>
      <sheetName val="PIVOT"/>
      <sheetName val="Data kế hoạch "/>
    </sheetNames>
    <sheetDataSet>
      <sheetData sheetId="0"/>
      <sheetData sheetId="1"/>
      <sheetData sheetId="2"/>
      <sheetData sheetId="3">
        <row r="1">
          <cell r="B1" t="str">
            <v>Mã CH</v>
          </cell>
          <cell r="C1" t="str">
            <v>Tên cửa hàng</v>
          </cell>
          <cell r="D1" t="str">
            <v>Tỉnh</v>
          </cell>
          <cell r="E1" t="str">
            <v>Quận</v>
          </cell>
          <cell r="F1" t="str">
            <v>STT</v>
          </cell>
          <cell r="G1" t="str">
            <v>Ngày kiểm kê</v>
          </cell>
          <cell r="H1" t="str">
            <v>Phân loại</v>
          </cell>
          <cell r="I1" t="str">
            <v>NVT</v>
          </cell>
        </row>
        <row r="2">
          <cell r="B2" t="str">
            <v>2BNQ</v>
          </cell>
          <cell r="C2" t="str">
            <v>WM+ PTO Nam Giáp, Sông Lô</v>
          </cell>
          <cell r="D2" t="str">
            <v>T. Vĩnh Phúc</v>
          </cell>
          <cell r="E2" t="str">
            <v>H. Sông Lô</v>
          </cell>
          <cell r="F2">
            <v>1</v>
          </cell>
          <cell r="H2" t="str">
            <v>WM+</v>
          </cell>
          <cell r="I2" t="str">
            <v>SAFEFAST</v>
          </cell>
        </row>
        <row r="3">
          <cell r="B3" t="str">
            <v>2AJX</v>
          </cell>
          <cell r="C3" t="str">
            <v>WM+ VPC Thôn Dùng, Cao Phong</v>
          </cell>
          <cell r="D3" t="str">
            <v>T. Vĩnh Phúc</v>
          </cell>
          <cell r="E3" t="str">
            <v>H. Sông Lô</v>
          </cell>
          <cell r="F3">
            <v>2</v>
          </cell>
          <cell r="H3" t="str">
            <v>WM+</v>
          </cell>
          <cell r="I3" t="str">
            <v>SAFEFAST</v>
          </cell>
        </row>
        <row r="4">
          <cell r="B4" t="str">
            <v>6333</v>
          </cell>
          <cell r="C4" t="str">
            <v>WM+ VPC Vọng Sơn, Lập Thạch</v>
          </cell>
          <cell r="D4" t="str">
            <v>T. Vĩnh Phúc</v>
          </cell>
          <cell r="E4" t="str">
            <v>H. Sông Lô</v>
          </cell>
          <cell r="F4">
            <v>3</v>
          </cell>
          <cell r="H4" t="str">
            <v>WM+</v>
          </cell>
          <cell r="I4" t="str">
            <v>SAFEFAST</v>
          </cell>
        </row>
        <row r="5">
          <cell r="B5" t="str">
            <v>2BES</v>
          </cell>
          <cell r="C5" t="str">
            <v>WM+ PTO Trung Kiên, Sơn Đông</v>
          </cell>
          <cell r="D5" t="str">
            <v>T. Vĩnh Phúc</v>
          </cell>
          <cell r="E5" t="str">
            <v>H. Sông Lô</v>
          </cell>
          <cell r="F5">
            <v>4</v>
          </cell>
          <cell r="H5" t="str">
            <v>WM+</v>
          </cell>
          <cell r="I5" t="str">
            <v>SAFEFAST</v>
          </cell>
        </row>
        <row r="6">
          <cell r="B6" t="str">
            <v>2CDE</v>
          </cell>
          <cell r="C6" t="str">
            <v>WM+ PTO Thôn Đông Thịnh, Sơn Đông</v>
          </cell>
          <cell r="D6" t="str">
            <v>T. Vĩnh Phúc</v>
          </cell>
          <cell r="E6" t="str">
            <v>H. Sông Lô</v>
          </cell>
          <cell r="F6">
            <v>5</v>
          </cell>
          <cell r="H6" t="str">
            <v>WMP</v>
          </cell>
          <cell r="I6" t="str">
            <v>SAFEFAST</v>
          </cell>
        </row>
        <row r="7">
          <cell r="B7" t="str">
            <v>2BME</v>
          </cell>
          <cell r="C7" t="str">
            <v>WM+ PTO Đông Xuân, Tiên Lữ</v>
          </cell>
          <cell r="D7" t="str">
            <v>T. Vĩnh Phúc</v>
          </cell>
          <cell r="E7" t="str">
            <v>H. Sông Lô</v>
          </cell>
          <cell r="F7">
            <v>6</v>
          </cell>
          <cell r="H7" t="str">
            <v>WM+</v>
          </cell>
          <cell r="I7" t="str">
            <v>SAFEFAST</v>
          </cell>
        </row>
        <row r="8">
          <cell r="B8" t="str">
            <v>2AIS</v>
          </cell>
          <cell r="C8" t="str">
            <v>WM+ VPC TDP Then, TT Tam Sơn</v>
          </cell>
          <cell r="D8" t="str">
            <v>T. Vĩnh Phúc</v>
          </cell>
          <cell r="E8" t="str">
            <v>H. Sông Lô</v>
          </cell>
          <cell r="F8">
            <v>7</v>
          </cell>
          <cell r="H8" t="str">
            <v>WM+</v>
          </cell>
          <cell r="I8" t="str">
            <v>SAFEFAST</v>
          </cell>
        </row>
        <row r="9">
          <cell r="B9" t="str">
            <v>2BDA</v>
          </cell>
          <cell r="C9" t="str">
            <v>WM+ PTO Hòa Bình, Hải Lựu 2</v>
          </cell>
          <cell r="D9" t="str">
            <v>T. Vĩnh Phúc</v>
          </cell>
          <cell r="E9" t="str">
            <v>H. Sông Lô</v>
          </cell>
          <cell r="F9">
            <v>8</v>
          </cell>
          <cell r="H9" t="str">
            <v>WM+</v>
          </cell>
          <cell r="I9" t="str">
            <v>SAFEFAST</v>
          </cell>
        </row>
        <row r="10">
          <cell r="B10" t="str">
            <v>2B63</v>
          </cell>
          <cell r="C10" t="str">
            <v>WM+ PTO Hòa Bình, Hải Lựu</v>
          </cell>
          <cell r="D10" t="str">
            <v>T. Vĩnh Phúc</v>
          </cell>
          <cell r="E10" t="str">
            <v>H. Sông Lô</v>
          </cell>
          <cell r="F10">
            <v>9</v>
          </cell>
          <cell r="H10" t="str">
            <v>WM+</v>
          </cell>
          <cell r="I10" t="str">
            <v>SAFEFAST</v>
          </cell>
        </row>
        <row r="11">
          <cell r="B11" t="str">
            <v>2BLH</v>
          </cell>
          <cell r="C11" t="str">
            <v>WM+ PTO Lê Lợi, Hải Lựu</v>
          </cell>
          <cell r="D11" t="str">
            <v>T. Vĩnh Phúc</v>
          </cell>
          <cell r="E11" t="str">
            <v>H. Sông Lô</v>
          </cell>
          <cell r="F11">
            <v>10</v>
          </cell>
          <cell r="H11" t="str">
            <v>WM+</v>
          </cell>
          <cell r="I11" t="str">
            <v>SAFEFAST</v>
          </cell>
        </row>
        <row r="12">
          <cell r="B12" t="str">
            <v>2AM8</v>
          </cell>
          <cell r="C12" t="str">
            <v>WM+ VPC Khu Trung Tâm, Lãng Công</v>
          </cell>
          <cell r="D12" t="str">
            <v>T. Vĩnh Phúc</v>
          </cell>
          <cell r="E12" t="str">
            <v>H. Sông Lô</v>
          </cell>
          <cell r="F12">
            <v>11</v>
          </cell>
          <cell r="H12" t="str">
            <v>WM+</v>
          </cell>
          <cell r="I12" t="str">
            <v>SAFEFAST</v>
          </cell>
        </row>
        <row r="13">
          <cell r="B13" t="str">
            <v>2BC5</v>
          </cell>
          <cell r="C13" t="str">
            <v>WM+ PTO Quế Trạo, Tam Sơn</v>
          </cell>
          <cell r="D13" t="str">
            <v>T. Vĩnh Phúc</v>
          </cell>
          <cell r="E13" t="str">
            <v>H. Sông Lô</v>
          </cell>
          <cell r="F13">
            <v>12</v>
          </cell>
          <cell r="H13" t="str">
            <v>WM+</v>
          </cell>
          <cell r="I13" t="str">
            <v>SAFEFAST</v>
          </cell>
        </row>
        <row r="14">
          <cell r="B14" t="str">
            <v>2BU3</v>
          </cell>
          <cell r="C14" t="str">
            <v>WM+ PTO Hoa Cao, Tam Sơn</v>
          </cell>
          <cell r="D14" t="str">
            <v>T. Vĩnh Phúc</v>
          </cell>
          <cell r="E14" t="str">
            <v>H. Sông Lô</v>
          </cell>
          <cell r="F14">
            <v>13</v>
          </cell>
          <cell r="H14" t="str">
            <v>WM+</v>
          </cell>
          <cell r="I14" t="str">
            <v>SAFEFAST</v>
          </cell>
        </row>
        <row r="15">
          <cell r="B15" t="str">
            <v>6141</v>
          </cell>
          <cell r="C15" t="str">
            <v>WM+ VPC TDP Tân Chiền, Lập Thạch</v>
          </cell>
          <cell r="D15" t="str">
            <v>T. Vĩnh Phúc</v>
          </cell>
          <cell r="E15" t="str">
            <v>H. Lập Thạch</v>
          </cell>
          <cell r="F15">
            <v>14</v>
          </cell>
          <cell r="H15" t="str">
            <v>WM+</v>
          </cell>
          <cell r="I15" t="str">
            <v>SAFEFAST</v>
          </cell>
        </row>
        <row r="16">
          <cell r="B16" t="str">
            <v>2BLC</v>
          </cell>
          <cell r="C16" t="str">
            <v>WM+ PTO Bản Hậu, Lập Thạch</v>
          </cell>
          <cell r="D16" t="str">
            <v>T. Vĩnh Phúc</v>
          </cell>
          <cell r="E16" t="str">
            <v>H. Lập Thạch</v>
          </cell>
          <cell r="F16">
            <v>15</v>
          </cell>
          <cell r="H16" t="str">
            <v>WM+</v>
          </cell>
          <cell r="I16" t="str">
            <v>SAFEFAST</v>
          </cell>
        </row>
        <row r="17">
          <cell r="B17" t="str">
            <v>2BHX</v>
          </cell>
          <cell r="C17" t="str">
            <v>WM+ PTO Nghệ Oản Trung, Hợp Lý</v>
          </cell>
          <cell r="D17" t="str">
            <v>T. Vĩnh Phúc</v>
          </cell>
          <cell r="E17" t="str">
            <v>H. Lập Thạch</v>
          </cell>
          <cell r="F17">
            <v>16</v>
          </cell>
          <cell r="H17" t="str">
            <v>WM+</v>
          </cell>
          <cell r="I17" t="str">
            <v>SAFEFAST</v>
          </cell>
        </row>
        <row r="18">
          <cell r="B18" t="str">
            <v>2CET</v>
          </cell>
          <cell r="C18" t="str">
            <v>WM+ PTO Sơn Kịch, Hợp Lý</v>
          </cell>
          <cell r="D18" t="str">
            <v>T. Vĩnh Phúc</v>
          </cell>
          <cell r="E18" t="str">
            <v>H. Lập Thạch</v>
          </cell>
          <cell r="F18">
            <v>17</v>
          </cell>
          <cell r="H18" t="str">
            <v>WMP</v>
          </cell>
          <cell r="I18" t="str">
            <v>SAFEFAST</v>
          </cell>
        </row>
        <row r="19">
          <cell r="B19" t="str">
            <v>5875</v>
          </cell>
          <cell r="C19" t="str">
            <v>WM+ VPC Hoa Lư, Lập Thạch</v>
          </cell>
          <cell r="D19" t="str">
            <v>T. Vĩnh Phúc</v>
          </cell>
          <cell r="E19" t="str">
            <v>H. Lập Thạch</v>
          </cell>
          <cell r="F19">
            <v>18</v>
          </cell>
          <cell r="H19" t="str">
            <v>WM+</v>
          </cell>
          <cell r="I19" t="str">
            <v>SAFEFAST</v>
          </cell>
        </row>
        <row r="20">
          <cell r="B20" t="str">
            <v>2AFQ</v>
          </cell>
          <cell r="C20" t="str">
            <v>WM+ VPC Khu Chợ Đầm, Thái Hòa</v>
          </cell>
          <cell r="D20" t="str">
            <v>T. Vĩnh Phúc</v>
          </cell>
          <cell r="E20" t="str">
            <v>H. Lập Thạch</v>
          </cell>
          <cell r="F20">
            <v>19</v>
          </cell>
          <cell r="H20" t="str">
            <v>WM+</v>
          </cell>
          <cell r="I20" t="str">
            <v>SAFEFAST</v>
          </cell>
        </row>
        <row r="21">
          <cell r="B21" t="str">
            <v>2BEG</v>
          </cell>
          <cell r="C21" t="str">
            <v>WM+ PTO Hữu Phúc, Thái Hòa</v>
          </cell>
          <cell r="D21" t="str">
            <v>T. Vĩnh Phúc</v>
          </cell>
          <cell r="E21" t="str">
            <v>H. Lập Thạch</v>
          </cell>
          <cell r="F21">
            <v>20</v>
          </cell>
          <cell r="H21" t="str">
            <v>WM+</v>
          </cell>
          <cell r="I21" t="str">
            <v>SAFEFAST</v>
          </cell>
        </row>
        <row r="22">
          <cell r="B22" t="str">
            <v>2BAL</v>
          </cell>
          <cell r="C22" t="str">
            <v>WM+ PTO Tân Tiến, Đạo Trù</v>
          </cell>
          <cell r="D22" t="str">
            <v>T. Vĩnh Phúc</v>
          </cell>
          <cell r="E22" t="str">
            <v>H. Tam Đảo</v>
          </cell>
          <cell r="F22">
            <v>21</v>
          </cell>
          <cell r="H22" t="str">
            <v>WM+</v>
          </cell>
          <cell r="I22" t="str">
            <v>SAFEFAST</v>
          </cell>
        </row>
        <row r="23">
          <cell r="B23" t="str">
            <v>2B35</v>
          </cell>
          <cell r="C23" t="str">
            <v>WM+ VPC Trại Mới, TT Đại Đình</v>
          </cell>
          <cell r="D23" t="str">
            <v>T. Vĩnh Phúc</v>
          </cell>
          <cell r="E23" t="str">
            <v>H. Tam Đảo</v>
          </cell>
          <cell r="F23">
            <v>22</v>
          </cell>
          <cell r="H23" t="str">
            <v>WM+</v>
          </cell>
          <cell r="I23" t="str">
            <v>SAFEFAST</v>
          </cell>
        </row>
        <row r="24">
          <cell r="B24" t="str">
            <v>2BAY</v>
          </cell>
          <cell r="C24" t="str">
            <v>WM+ PTO Làng Mạ, Tam Dương Bắc</v>
          </cell>
          <cell r="D24" t="str">
            <v>T. Vĩnh Phúc</v>
          </cell>
          <cell r="E24" t="str">
            <v>H. Tam Đảo</v>
          </cell>
          <cell r="F24">
            <v>23</v>
          </cell>
          <cell r="H24" t="str">
            <v>WM+</v>
          </cell>
          <cell r="I24" t="str">
            <v>SAFEFAST</v>
          </cell>
        </row>
        <row r="25">
          <cell r="B25" t="str">
            <v>2BXW</v>
          </cell>
          <cell r="C25" t="str">
            <v>WM+ PTO Thôn Quang Minh, Tam Đảo</v>
          </cell>
          <cell r="D25" t="str">
            <v>T. Vĩnh Phúc</v>
          </cell>
          <cell r="E25" t="str">
            <v>H. Tam Đảo</v>
          </cell>
          <cell r="F25">
            <v>24</v>
          </cell>
          <cell r="H25" t="str">
            <v>WMP</v>
          </cell>
          <cell r="I25" t="str">
            <v>SAFEFAST</v>
          </cell>
        </row>
        <row r="26">
          <cell r="B26" t="str">
            <v>2AKQ</v>
          </cell>
          <cell r="C26" t="str">
            <v>WM+ VPC Cầu Tre, Hồ Sơn</v>
          </cell>
          <cell r="D26" t="str">
            <v>T. Vĩnh Phúc</v>
          </cell>
          <cell r="E26" t="str">
            <v>H. Tam Đảo</v>
          </cell>
          <cell r="F26">
            <v>25</v>
          </cell>
          <cell r="H26" t="str">
            <v>WM+</v>
          </cell>
          <cell r="I26" t="str">
            <v>SAFEFAST</v>
          </cell>
        </row>
        <row r="27">
          <cell r="B27" t="str">
            <v>5863</v>
          </cell>
          <cell r="C27" t="str">
            <v>WM+ VPC Chợ Hợp Châu, Tam Đảo</v>
          </cell>
          <cell r="D27" t="str">
            <v>T. Vĩnh Phúc</v>
          </cell>
          <cell r="E27" t="str">
            <v>H. Tam Đảo</v>
          </cell>
          <cell r="F27">
            <v>26</v>
          </cell>
          <cell r="H27" t="str">
            <v>WM+</v>
          </cell>
          <cell r="I27" t="str">
            <v>SAFEFAST</v>
          </cell>
        </row>
        <row r="28">
          <cell r="B28" t="str">
            <v>2ANH</v>
          </cell>
          <cell r="C28" t="str">
            <v>WM+ VPC TDP Đồng Bông, Kim Long</v>
          </cell>
          <cell r="D28" t="str">
            <v>T. Vĩnh Phúc</v>
          </cell>
          <cell r="E28" t="str">
            <v>H. Tam Đảo</v>
          </cell>
          <cell r="F28">
            <v>27</v>
          </cell>
          <cell r="H28" t="str">
            <v>WM+</v>
          </cell>
          <cell r="I28" t="str">
            <v>SAFEFAST</v>
          </cell>
        </row>
        <row r="29">
          <cell r="B29" t="str">
            <v>2BS0</v>
          </cell>
          <cell r="C29" t="str">
            <v>WM+ PTO Thôn 7, Tam Dương</v>
          </cell>
          <cell r="D29" t="str">
            <v>T. Vĩnh Phúc</v>
          </cell>
          <cell r="E29" t="str">
            <v>H. Tam Dương</v>
          </cell>
          <cell r="F29">
            <v>28</v>
          </cell>
          <cell r="H29" t="str">
            <v>WM+</v>
          </cell>
          <cell r="I29" t="str">
            <v>SAFEFAST</v>
          </cell>
        </row>
        <row r="30">
          <cell r="B30" t="str">
            <v>6265</v>
          </cell>
          <cell r="C30" t="str">
            <v>WM+ VPC TDP Cổ Độ, Bình Xuyên</v>
          </cell>
          <cell r="D30" t="str">
            <v>T. Vĩnh Phúc</v>
          </cell>
          <cell r="E30" t="str">
            <v>H. Tam Dương</v>
          </cell>
          <cell r="F30">
            <v>29</v>
          </cell>
          <cell r="H30" t="str">
            <v>WM+</v>
          </cell>
          <cell r="I30" t="str">
            <v>SAFEFAST</v>
          </cell>
        </row>
        <row r="31">
          <cell r="B31" t="str">
            <v>6146</v>
          </cell>
          <cell r="C31" t="str">
            <v>WM+ VPC Phố Me, Tam Dương</v>
          </cell>
          <cell r="D31" t="str">
            <v>T. Vĩnh Phúc</v>
          </cell>
          <cell r="E31" t="str">
            <v>H. Tam Dương</v>
          </cell>
          <cell r="F31">
            <v>30</v>
          </cell>
          <cell r="H31" t="str">
            <v>WM+</v>
          </cell>
          <cell r="I31" t="str">
            <v>SAFEFAST</v>
          </cell>
        </row>
        <row r="32">
          <cell r="B32" t="str">
            <v>2BR0</v>
          </cell>
          <cell r="C32" t="str">
            <v>WM+ PTO TDP Liên Bình, Tam Dương</v>
          </cell>
          <cell r="D32" t="str">
            <v>T. Vĩnh Phúc</v>
          </cell>
          <cell r="E32" t="str">
            <v>H. Tam Dương</v>
          </cell>
          <cell r="F32">
            <v>31</v>
          </cell>
          <cell r="H32" t="str">
            <v>WM+</v>
          </cell>
          <cell r="I32" t="str">
            <v>SAFEFAST</v>
          </cell>
        </row>
        <row r="33">
          <cell r="B33" t="str">
            <v>6665</v>
          </cell>
          <cell r="C33" t="str">
            <v>WM+ VPC Duy Phiên, Tam Dương</v>
          </cell>
          <cell r="D33" t="str">
            <v>T. Vĩnh Phúc</v>
          </cell>
          <cell r="E33" t="str">
            <v>H. Tam Dương</v>
          </cell>
          <cell r="F33">
            <v>32</v>
          </cell>
          <cell r="H33" t="str">
            <v>WM+</v>
          </cell>
          <cell r="I33" t="str">
            <v>SAFEFAST</v>
          </cell>
        </row>
        <row r="34">
          <cell r="B34" t="str">
            <v>2AKN</v>
          </cell>
          <cell r="C34" t="str">
            <v>WM+ VPC 52 Thanh Vân</v>
          </cell>
          <cell r="D34" t="str">
            <v>T. Vĩnh Phúc</v>
          </cell>
          <cell r="E34" t="str">
            <v>H. Tam Dương</v>
          </cell>
          <cell r="F34">
            <v>33</v>
          </cell>
          <cell r="H34" t="str">
            <v>WM+</v>
          </cell>
          <cell r="I34" t="str">
            <v>SAFEFAST</v>
          </cell>
        </row>
        <row r="35">
          <cell r="B35" t="str">
            <v>6976</v>
          </cell>
          <cell r="C35" t="str">
            <v>WM+ VPC 204 Lý Thường Kiệt</v>
          </cell>
          <cell r="D35" t="str">
            <v>T. Vĩnh Phúc</v>
          </cell>
          <cell r="E35" t="str">
            <v>TP. Vĩnh Yên</v>
          </cell>
          <cell r="F35">
            <v>34</v>
          </cell>
          <cell r="H35" t="str">
            <v>WM+</v>
          </cell>
          <cell r="I35" t="str">
            <v>SAFEFAST</v>
          </cell>
        </row>
        <row r="36">
          <cell r="B36" t="str">
            <v>4524</v>
          </cell>
          <cell r="C36" t="str">
            <v>WM+ VPC 82 Lý Thường Kiệt</v>
          </cell>
          <cell r="D36" t="str">
            <v>T. Vĩnh Phúc</v>
          </cell>
          <cell r="E36" t="str">
            <v>TP. Vĩnh Yên</v>
          </cell>
          <cell r="F36">
            <v>35</v>
          </cell>
          <cell r="H36" t="str">
            <v>WM+</v>
          </cell>
          <cell r="I36" t="str">
            <v>SAFEFAST</v>
          </cell>
        </row>
        <row r="37">
          <cell r="B37" t="str">
            <v>6348</v>
          </cell>
          <cell r="C37" t="str">
            <v>WM+ VPC Thọ Khánh, Tam Dương</v>
          </cell>
          <cell r="D37" t="str">
            <v>T. Vĩnh Phúc</v>
          </cell>
          <cell r="E37" t="str">
            <v>TP. Vĩnh Yên</v>
          </cell>
          <cell r="F37">
            <v>36</v>
          </cell>
          <cell r="H37" t="str">
            <v>WM+</v>
          </cell>
          <cell r="I37" t="str">
            <v>SAFEFAST</v>
          </cell>
        </row>
        <row r="38">
          <cell r="B38" t="str">
            <v>6595</v>
          </cell>
          <cell r="C38" t="str">
            <v>WM+ VPC 81 Quang Trung</v>
          </cell>
          <cell r="D38" t="str">
            <v>T. Vĩnh Phúc</v>
          </cell>
          <cell r="E38" t="str">
            <v>TP. Vĩnh Yên</v>
          </cell>
          <cell r="F38">
            <v>37</v>
          </cell>
          <cell r="H38" t="str">
            <v>WM+</v>
          </cell>
          <cell r="I38" t="str">
            <v>SAFEFAST</v>
          </cell>
        </row>
        <row r="39">
          <cell r="B39" t="str">
            <v>4516</v>
          </cell>
          <cell r="C39" t="str">
            <v>WM+ VPC 141 Hùng Vương-Vĩnh Yên</v>
          </cell>
          <cell r="D39" t="str">
            <v>T. Vĩnh Phúc</v>
          </cell>
          <cell r="E39" t="str">
            <v>TP. Vĩnh Yên</v>
          </cell>
          <cell r="F39">
            <v>38</v>
          </cell>
          <cell r="H39" t="str">
            <v>WM+</v>
          </cell>
          <cell r="I39" t="str">
            <v>SAFEFAST</v>
          </cell>
        </row>
        <row r="40">
          <cell r="B40" t="str">
            <v>6791</v>
          </cell>
          <cell r="C40" t="str">
            <v>WM+ VPC 195 Nguyễn Viết Xuân</v>
          </cell>
          <cell r="D40" t="str">
            <v>T. Vĩnh Phúc</v>
          </cell>
          <cell r="E40" t="str">
            <v>TP. Vĩnh Yên</v>
          </cell>
          <cell r="F40">
            <v>39</v>
          </cell>
          <cell r="H40" t="str">
            <v>WM+</v>
          </cell>
          <cell r="I40" t="str">
            <v>SAFEFAST</v>
          </cell>
        </row>
        <row r="41">
          <cell r="B41" t="str">
            <v>6717</v>
          </cell>
          <cell r="C41" t="str">
            <v>WM+ VPC 117 Đầm Vạc</v>
          </cell>
          <cell r="D41" t="str">
            <v>T. Vĩnh Phúc</v>
          </cell>
          <cell r="E41" t="str">
            <v>TP. Vĩnh Yên</v>
          </cell>
          <cell r="F41">
            <v>40</v>
          </cell>
          <cell r="H41" t="str">
            <v>WM+</v>
          </cell>
          <cell r="I41" t="str">
            <v>SAFEFAST</v>
          </cell>
        </row>
        <row r="42">
          <cell r="B42" t="str">
            <v>6182</v>
          </cell>
          <cell r="C42" t="str">
            <v>WM+ VPC 19 Lê Xoay</v>
          </cell>
          <cell r="D42" t="str">
            <v>T. Vĩnh Phúc</v>
          </cell>
          <cell r="E42" t="str">
            <v>TP. Vĩnh Yên</v>
          </cell>
          <cell r="F42">
            <v>41</v>
          </cell>
          <cell r="H42" t="str">
            <v>WM+</v>
          </cell>
          <cell r="I42" t="str">
            <v>SAFEFAST</v>
          </cell>
        </row>
        <row r="43">
          <cell r="B43" t="str">
            <v>2AT6</v>
          </cell>
          <cell r="C43" t="str">
            <v>WM+ VPC SH4 La Fortuna, Phạm Văn Đồng</v>
          </cell>
          <cell r="D43" t="str">
            <v>T. Vĩnh Phúc</v>
          </cell>
          <cell r="E43" t="str">
            <v>TP. Vĩnh Yên</v>
          </cell>
          <cell r="F43">
            <v>42</v>
          </cell>
          <cell r="H43" t="str">
            <v>WM+</v>
          </cell>
          <cell r="I43" t="str">
            <v>SAFEFAST</v>
          </cell>
        </row>
        <row r="44">
          <cell r="B44" t="str">
            <v>4532</v>
          </cell>
          <cell r="C44" t="str">
            <v>WM+ VPC Vinaconex Nguyễn Tất Thành</v>
          </cell>
          <cell r="D44" t="str">
            <v>T. Vĩnh Phúc</v>
          </cell>
          <cell r="E44" t="str">
            <v>TP. Vĩnh Yên</v>
          </cell>
          <cell r="F44">
            <v>43</v>
          </cell>
          <cell r="H44" t="str">
            <v>WM+</v>
          </cell>
          <cell r="I44" t="str">
            <v>SAFEFAST</v>
          </cell>
        </row>
        <row r="45">
          <cell r="B45" t="str">
            <v>2AL1</v>
          </cell>
          <cell r="C45" t="str">
            <v>WM+ VPC L9-01 Khu đô thị VCI</v>
          </cell>
          <cell r="D45" t="str">
            <v>T. Vĩnh Phúc</v>
          </cell>
          <cell r="E45" t="str">
            <v>TP. Vĩnh Yên</v>
          </cell>
          <cell r="F45">
            <v>44</v>
          </cell>
          <cell r="H45" t="str">
            <v>WM+</v>
          </cell>
          <cell r="I45" t="str">
            <v>SAFEFAST</v>
          </cell>
        </row>
        <row r="46">
          <cell r="B46" t="str">
            <v>4957</v>
          </cell>
          <cell r="C46" t="str">
            <v>WM+ VPC 37 Chùa Hà</v>
          </cell>
          <cell r="D46" t="str">
            <v>T. Vĩnh Phúc</v>
          </cell>
          <cell r="E46" t="str">
            <v>TP. Vĩnh Yên</v>
          </cell>
          <cell r="F46">
            <v>45</v>
          </cell>
          <cell r="H46" t="str">
            <v>WM+</v>
          </cell>
          <cell r="I46" t="str">
            <v>SAFEFAST</v>
          </cell>
        </row>
        <row r="47">
          <cell r="B47" t="str">
            <v>4505</v>
          </cell>
          <cell r="C47" t="str">
            <v>WM+ VPC KHC 15 Nguyễn Tất Thành</v>
          </cell>
          <cell r="D47" t="str">
            <v>T. Vĩnh Phúc</v>
          </cell>
          <cell r="E47" t="str">
            <v>TP. Vĩnh Yên</v>
          </cell>
          <cell r="F47">
            <v>46</v>
          </cell>
          <cell r="H47" t="str">
            <v>WM+</v>
          </cell>
          <cell r="I47" t="str">
            <v>SAFEFAST</v>
          </cell>
        </row>
        <row r="48">
          <cell r="B48" t="str">
            <v>4523</v>
          </cell>
          <cell r="C48" t="str">
            <v>WM+ VPC 38 Bà Triệu</v>
          </cell>
          <cell r="D48" t="str">
            <v>T. Vĩnh Phúc</v>
          </cell>
          <cell r="E48" t="str">
            <v>TP. Vĩnh Yên</v>
          </cell>
          <cell r="F48">
            <v>47</v>
          </cell>
          <cell r="H48" t="str">
            <v>WM+</v>
          </cell>
          <cell r="I48" t="str">
            <v>SAFEFAST</v>
          </cell>
        </row>
        <row r="49">
          <cell r="B49" t="str">
            <v>4480</v>
          </cell>
          <cell r="C49" t="str">
            <v>WM+ VPC 134B Trần Phú</v>
          </cell>
          <cell r="D49" t="str">
            <v>T. Vĩnh Phúc</v>
          </cell>
          <cell r="E49" t="str">
            <v>TP. Vĩnh Yên</v>
          </cell>
          <cell r="F49">
            <v>48</v>
          </cell>
          <cell r="H49" t="str">
            <v>WM+</v>
          </cell>
          <cell r="I49" t="str">
            <v>SAFEFAST</v>
          </cell>
        </row>
        <row r="50">
          <cell r="B50" t="str">
            <v>2AH4</v>
          </cell>
          <cell r="C50" t="str">
            <v>WM+ VPC 5 Ngô Gia Tự</v>
          </cell>
          <cell r="D50" t="str">
            <v>T. Vĩnh Phúc</v>
          </cell>
          <cell r="E50" t="str">
            <v>TP. Vĩnh Yên</v>
          </cell>
          <cell r="F50">
            <v>49</v>
          </cell>
          <cell r="H50" t="str">
            <v>WM+</v>
          </cell>
          <cell r="I50" t="str">
            <v>SAFEFAST</v>
          </cell>
        </row>
        <row r="51">
          <cell r="B51" t="str">
            <v>4498</v>
          </cell>
          <cell r="C51" t="str">
            <v>WM+ VPC 291 Mê Linh</v>
          </cell>
          <cell r="D51" t="str">
            <v>T. Vĩnh Phúc</v>
          </cell>
          <cell r="E51" t="str">
            <v>TP. Vĩnh Yên</v>
          </cell>
          <cell r="F51">
            <v>50</v>
          </cell>
          <cell r="H51" t="str">
            <v>WM+</v>
          </cell>
          <cell r="I51" t="str">
            <v>SAFEFAST</v>
          </cell>
        </row>
        <row r="52">
          <cell r="B52" t="str">
            <v>4497</v>
          </cell>
          <cell r="C52" t="str">
            <v>WM+ VPC 84 Tôn Đức Thắng</v>
          </cell>
          <cell r="D52" t="str">
            <v>T. Vĩnh Phúc</v>
          </cell>
          <cell r="E52" t="str">
            <v>TP. Vĩnh Yên</v>
          </cell>
          <cell r="F52">
            <v>51</v>
          </cell>
          <cell r="H52" t="str">
            <v>WM+</v>
          </cell>
          <cell r="I52" t="str">
            <v>SAFEFAST</v>
          </cell>
        </row>
        <row r="53">
          <cell r="B53" t="str">
            <v>2ACO</v>
          </cell>
          <cell r="C53" t="str">
            <v>WM+ VPC 105-106 Tòa B2 Khai Minh</v>
          </cell>
          <cell r="D53" t="str">
            <v>T. Vĩnh Phúc</v>
          </cell>
          <cell r="E53" t="str">
            <v>TP. Vĩnh Yên</v>
          </cell>
          <cell r="F53">
            <v>52</v>
          </cell>
          <cell r="H53" t="str">
            <v>WM+</v>
          </cell>
          <cell r="I53" t="str">
            <v>SAFEFAST</v>
          </cell>
        </row>
        <row r="54">
          <cell r="B54" t="str">
            <v>2AD4</v>
          </cell>
          <cell r="C54" t="str">
            <v>WM+ VPC CH5 The City Light</v>
          </cell>
          <cell r="D54" t="str">
            <v>T. Vĩnh Phúc</v>
          </cell>
          <cell r="E54" t="str">
            <v>TP. Vĩnh Yên</v>
          </cell>
          <cell r="F54">
            <v>53</v>
          </cell>
          <cell r="H54" t="str">
            <v>WM+</v>
          </cell>
          <cell r="I54" t="str">
            <v>SAFEFAST</v>
          </cell>
        </row>
        <row r="55">
          <cell r="B55" t="str">
            <v>6496</v>
          </cell>
          <cell r="C55" t="str">
            <v>WM+ VPC 45 Nguyễn Tất Thành</v>
          </cell>
          <cell r="D55" t="str">
            <v>T. Vĩnh Phúc</v>
          </cell>
          <cell r="E55" t="str">
            <v>TP. Vĩnh Yên</v>
          </cell>
          <cell r="F55">
            <v>54</v>
          </cell>
          <cell r="H55" t="str">
            <v>WM+</v>
          </cell>
          <cell r="I55" t="str">
            <v>SAFEFAST</v>
          </cell>
        </row>
        <row r="56">
          <cell r="B56" t="str">
            <v>2A02</v>
          </cell>
          <cell r="C56" t="str">
            <v>WM+ VPC TDP Mậu Thông, Vĩnh Yên</v>
          </cell>
          <cell r="D56" t="str">
            <v>T. Vĩnh Phúc</v>
          </cell>
          <cell r="E56" t="str">
            <v>TP. Vĩnh Yên</v>
          </cell>
          <cell r="F56">
            <v>55</v>
          </cell>
          <cell r="H56" t="str">
            <v>WM+</v>
          </cell>
          <cell r="I56" t="str">
            <v>SAFEFAST</v>
          </cell>
        </row>
        <row r="57">
          <cell r="B57" t="str">
            <v>2B81</v>
          </cell>
          <cell r="C57" t="str">
            <v>WM+ VPC Nguyễn Lương Bằng, Vị Trù</v>
          </cell>
          <cell r="D57" t="str">
            <v>T. Vĩnh Phúc</v>
          </cell>
          <cell r="E57" t="str">
            <v>TP. Vĩnh Yên</v>
          </cell>
          <cell r="F57">
            <v>56</v>
          </cell>
          <cell r="H57" t="str">
            <v>WM+</v>
          </cell>
          <cell r="I57" t="str">
            <v>SAFEFAST</v>
          </cell>
        </row>
        <row r="58">
          <cell r="B58" t="str">
            <v>6563</v>
          </cell>
          <cell r="C58" t="str">
            <v>WM+ VPC Khu Phố 2, Hương Canh</v>
          </cell>
          <cell r="D58" t="str">
            <v>T. Vĩnh Phúc</v>
          </cell>
          <cell r="E58" t="str">
            <v>H. Bình Xuyên</v>
          </cell>
          <cell r="F58">
            <v>57</v>
          </cell>
          <cell r="H58" t="str">
            <v>WM+</v>
          </cell>
          <cell r="I58" t="str">
            <v>SAFEFAST</v>
          </cell>
        </row>
        <row r="59">
          <cell r="B59" t="str">
            <v>6078</v>
          </cell>
          <cell r="C59" t="str">
            <v>WM+ VPC Khu Phố 1, Hương Canh</v>
          </cell>
          <cell r="D59" t="str">
            <v>T. Vĩnh Phúc</v>
          </cell>
          <cell r="E59" t="str">
            <v>H. Bình Xuyên</v>
          </cell>
          <cell r="F59">
            <v>58</v>
          </cell>
          <cell r="H59" t="str">
            <v>WM+</v>
          </cell>
          <cell r="I59" t="str">
            <v>SAFEFAST</v>
          </cell>
        </row>
        <row r="60">
          <cell r="B60" t="str">
            <v>2BIW</v>
          </cell>
          <cell r="C60" t="str">
            <v>WM+ PTO Ngoại Trạch 2, Bình Nguyên</v>
          </cell>
          <cell r="D60" t="str">
            <v>T. Vĩnh Phúc</v>
          </cell>
          <cell r="E60" t="str">
            <v>H. Bình Xuyên</v>
          </cell>
          <cell r="F60">
            <v>59</v>
          </cell>
          <cell r="H60" t="str">
            <v>WM+</v>
          </cell>
          <cell r="I60" t="str">
            <v>SAFEFAST</v>
          </cell>
        </row>
        <row r="61">
          <cell r="B61" t="str">
            <v>2B06</v>
          </cell>
          <cell r="C61" t="str">
            <v>WM+ PTO Ngọc Bảo, Bình Nguyên</v>
          </cell>
          <cell r="D61" t="str">
            <v>T. Vĩnh Phúc</v>
          </cell>
          <cell r="E61" t="str">
            <v>H. Bình Xuyên</v>
          </cell>
          <cell r="F61">
            <v>60</v>
          </cell>
          <cell r="H61" t="str">
            <v>WM+</v>
          </cell>
          <cell r="I61" t="str">
            <v>SAFEFAST</v>
          </cell>
        </row>
        <row r="62">
          <cell r="B62" t="str">
            <v>2BVC</v>
          </cell>
          <cell r="C62" t="str">
            <v>WM+ PTO Thôn Thiện Kế, Bình Xuyên</v>
          </cell>
          <cell r="D62" t="str">
            <v>T. Vĩnh Phúc</v>
          </cell>
          <cell r="E62" t="str">
            <v>H. Bình Xuyên</v>
          </cell>
          <cell r="F62">
            <v>61</v>
          </cell>
          <cell r="H62" t="str">
            <v>WM+</v>
          </cell>
          <cell r="I62" t="str">
            <v>SAFEFAST</v>
          </cell>
        </row>
        <row r="63">
          <cell r="B63" t="str">
            <v>2BTK</v>
          </cell>
          <cell r="C63" t="str">
            <v>WM+ PTO TDP Vinh Tiến</v>
          </cell>
          <cell r="D63" t="str">
            <v>T. Vĩnh Phúc</v>
          </cell>
          <cell r="E63" t="str">
            <v>H. Bình Xuyên</v>
          </cell>
          <cell r="F63">
            <v>62</v>
          </cell>
          <cell r="H63" t="str">
            <v>WM+</v>
          </cell>
          <cell r="I63" t="str">
            <v>SAFEFAST</v>
          </cell>
        </row>
        <row r="64">
          <cell r="B64" t="str">
            <v>5684</v>
          </cell>
          <cell r="C64" t="str">
            <v>WM+ VPC TDP Quang Vinh, Bình Xuyên</v>
          </cell>
          <cell r="D64" t="str">
            <v>T. Vĩnh Phúc</v>
          </cell>
          <cell r="E64" t="str">
            <v>H. Bình Xuyên</v>
          </cell>
          <cell r="F64">
            <v>63</v>
          </cell>
          <cell r="H64" t="str">
            <v>WM+</v>
          </cell>
          <cell r="I64" t="str">
            <v>SAFEFAST</v>
          </cell>
        </row>
        <row r="65">
          <cell r="B65" t="str">
            <v>2CIE</v>
          </cell>
          <cell r="C65" t="str">
            <v>WM+ PTO Thôn Nam Bản, Xuân Lãng</v>
          </cell>
          <cell r="D65" t="str">
            <v>T. Vĩnh Phúc</v>
          </cell>
          <cell r="E65" t="str">
            <v>H. Bình Xuyên</v>
          </cell>
          <cell r="F65">
            <v>64</v>
          </cell>
          <cell r="H65" t="str">
            <v>WMP</v>
          </cell>
          <cell r="I65" t="str">
            <v>SAFEFAST</v>
          </cell>
        </row>
        <row r="66">
          <cell r="B66" t="str">
            <v>2B82</v>
          </cell>
          <cell r="C66" t="str">
            <v>WM+ VPC Yên Điềm, Cao Minh</v>
          </cell>
          <cell r="D66" t="str">
            <v>T. Vĩnh Phúc</v>
          </cell>
          <cell r="E66" t="str">
            <v>TP. Phúc Yên</v>
          </cell>
          <cell r="F66">
            <v>65</v>
          </cell>
          <cell r="H66" t="str">
            <v>WM+</v>
          </cell>
          <cell r="I66" t="str">
            <v>SAFEFAST</v>
          </cell>
        </row>
        <row r="67">
          <cell r="B67" t="str">
            <v>4650</v>
          </cell>
          <cell r="C67" t="str">
            <v>WM+ VPC 301 Trường Chinh</v>
          </cell>
          <cell r="D67" t="str">
            <v>T. Vĩnh Phúc</v>
          </cell>
          <cell r="E67" t="str">
            <v>TP. Phúc Yên</v>
          </cell>
          <cell r="F67">
            <v>66</v>
          </cell>
          <cell r="H67" t="str">
            <v>WM+</v>
          </cell>
          <cell r="I67" t="str">
            <v>SAFEFAST</v>
          </cell>
        </row>
        <row r="68">
          <cell r="B68" t="str">
            <v>4491</v>
          </cell>
          <cell r="C68" t="str">
            <v>WM+ VPC 2 Nguyễn Văn Linh</v>
          </cell>
          <cell r="D68" t="str">
            <v>T. Vĩnh Phúc</v>
          </cell>
          <cell r="E68" t="str">
            <v>TP. Phúc Yên</v>
          </cell>
          <cell r="F68">
            <v>67</v>
          </cell>
          <cell r="H68" t="str">
            <v>WM+</v>
          </cell>
          <cell r="I68" t="str">
            <v>SAFEFAST</v>
          </cell>
        </row>
        <row r="69">
          <cell r="B69" t="str">
            <v>5656</v>
          </cell>
          <cell r="C69" t="str">
            <v>WM+ VPC 50 Nguyễn Văn Linh</v>
          </cell>
          <cell r="D69" t="str">
            <v>T. Vĩnh Phúc</v>
          </cell>
          <cell r="E69" t="str">
            <v>TP. Phúc Yên</v>
          </cell>
          <cell r="F69">
            <v>68</v>
          </cell>
          <cell r="H69" t="str">
            <v>WM+</v>
          </cell>
          <cell r="I69" t="str">
            <v>SAFEFAST</v>
          </cell>
        </row>
        <row r="70">
          <cell r="B70" t="str">
            <v>6948</v>
          </cell>
          <cell r="C70" t="str">
            <v>WM+ VPC 205 Trần Phú</v>
          </cell>
          <cell r="D70" t="str">
            <v>T. Vĩnh Phúc</v>
          </cell>
          <cell r="E70" t="str">
            <v>TP. Phúc Yên</v>
          </cell>
          <cell r="F70">
            <v>69</v>
          </cell>
          <cell r="H70" t="str">
            <v>WM+</v>
          </cell>
          <cell r="I70" t="str">
            <v>SAFEFAST</v>
          </cell>
        </row>
        <row r="71">
          <cell r="B71" t="str">
            <v>4482</v>
          </cell>
          <cell r="C71" t="str">
            <v>WM+ VPC 150 Chùa Cấm</v>
          </cell>
          <cell r="D71" t="str">
            <v>T. Vĩnh Phúc</v>
          </cell>
          <cell r="E71" t="str">
            <v>TP. Phúc Yên</v>
          </cell>
          <cell r="F71">
            <v>70</v>
          </cell>
          <cell r="H71" t="str">
            <v>WM+</v>
          </cell>
          <cell r="I71" t="str">
            <v>SAFEFAST</v>
          </cell>
        </row>
        <row r="72">
          <cell r="B72" t="str">
            <v>4809</v>
          </cell>
          <cell r="C72" t="str">
            <v>WM+ VPC 162 Trưng Trắc</v>
          </cell>
          <cell r="D72" t="str">
            <v>T. Vĩnh Phúc</v>
          </cell>
          <cell r="E72" t="str">
            <v>TP. Phúc Yên</v>
          </cell>
          <cell r="F72">
            <v>71</v>
          </cell>
          <cell r="H72" t="str">
            <v>WM+</v>
          </cell>
          <cell r="I72" t="str">
            <v>SAFEFAST</v>
          </cell>
        </row>
        <row r="73">
          <cell r="B73" t="str">
            <v>5836</v>
          </cell>
          <cell r="C73" t="str">
            <v>WM+ VPC Ngõ 14 Ngô Miễn, Phúc Yên</v>
          </cell>
          <cell r="D73" t="str">
            <v>T. Vĩnh Phúc</v>
          </cell>
          <cell r="E73" t="str">
            <v>TP. Phúc Yên</v>
          </cell>
          <cell r="F73">
            <v>72</v>
          </cell>
          <cell r="H73" t="str">
            <v>WM+</v>
          </cell>
          <cell r="I73" t="str">
            <v>SAFEFAST</v>
          </cell>
        </row>
        <row r="74">
          <cell r="B74" t="str">
            <v>2BFA</v>
          </cell>
          <cell r="C74" t="str">
            <v>WM+ PTO Ngô Miễn, Xuân Bến</v>
          </cell>
          <cell r="D74" t="str">
            <v>T. Vĩnh Phúc</v>
          </cell>
          <cell r="E74" t="str">
            <v>TP. Phúc Yên</v>
          </cell>
          <cell r="F74">
            <v>73</v>
          </cell>
          <cell r="H74" t="str">
            <v>WM+</v>
          </cell>
          <cell r="I74" t="str">
            <v>SAFEFAST</v>
          </cell>
        </row>
        <row r="75">
          <cell r="B75" t="str">
            <v>4657</v>
          </cell>
          <cell r="C75" t="str">
            <v>WM+ VPC 9 Hai Bà Trưng</v>
          </cell>
          <cell r="D75" t="str">
            <v>T. Vĩnh Phúc</v>
          </cell>
          <cell r="E75" t="str">
            <v>TP. Phúc Yên</v>
          </cell>
          <cell r="F75">
            <v>74</v>
          </cell>
          <cell r="H75" t="str">
            <v>WM+</v>
          </cell>
          <cell r="I75" t="str">
            <v>SAFEFAST</v>
          </cell>
        </row>
        <row r="76">
          <cell r="B76" t="str">
            <v>4966</v>
          </cell>
          <cell r="C76" t="str">
            <v>WM+ VPC 98 Nguyễn Trãi</v>
          </cell>
          <cell r="D76" t="str">
            <v>T. Vĩnh Phúc</v>
          </cell>
          <cell r="E76" t="str">
            <v>TP. Phúc Yên</v>
          </cell>
          <cell r="F76">
            <v>75</v>
          </cell>
          <cell r="H76" t="str">
            <v>WM+</v>
          </cell>
          <cell r="I76" t="str">
            <v>SAFEFAST</v>
          </cell>
        </row>
        <row r="77">
          <cell r="B77" t="str">
            <v>6347</v>
          </cell>
          <cell r="C77" t="str">
            <v>WM+ VPC 41 Trần Hưng Đạo</v>
          </cell>
          <cell r="D77" t="str">
            <v>T. Vĩnh Phúc</v>
          </cell>
          <cell r="E77" t="str">
            <v>TP. Phúc Yên</v>
          </cell>
          <cell r="F77">
            <v>76</v>
          </cell>
          <cell r="H77" t="str">
            <v>WM+</v>
          </cell>
          <cell r="I77" t="str">
            <v>SAFEFAST</v>
          </cell>
        </row>
        <row r="78">
          <cell r="B78" t="str">
            <v>2A50</v>
          </cell>
          <cell r="C78" t="str">
            <v>WM+ VPC TDP Trại Dật, Bình Xuyên</v>
          </cell>
          <cell r="D78" t="str">
            <v>T. Vĩnh Phúc</v>
          </cell>
          <cell r="E78" t="str">
            <v>H. Yên Lạc</v>
          </cell>
          <cell r="F78">
            <v>77</v>
          </cell>
          <cell r="H78" t="str">
            <v>WM+</v>
          </cell>
          <cell r="I78" t="str">
            <v>SAFEFAST</v>
          </cell>
        </row>
        <row r="79">
          <cell r="B79" t="str">
            <v>2BQK</v>
          </cell>
          <cell r="C79" t="str">
            <v>WM+ PTO Ngũ Hồ, Bình Xuyên</v>
          </cell>
          <cell r="D79" t="str">
            <v>T. Vĩnh Phúc</v>
          </cell>
          <cell r="E79" t="str">
            <v>H. Yên Lạc</v>
          </cell>
          <cell r="F79">
            <v>78</v>
          </cell>
          <cell r="H79" t="str">
            <v>WMP</v>
          </cell>
          <cell r="I79" t="str">
            <v>SAFEFAST</v>
          </cell>
        </row>
        <row r="80">
          <cell r="B80" t="str">
            <v>2AUQ</v>
          </cell>
          <cell r="C80" t="str">
            <v>WM+ VPC Bảo Đức, Đạo Đức</v>
          </cell>
          <cell r="D80" t="str">
            <v>T. Vĩnh Phúc</v>
          </cell>
          <cell r="E80" t="str">
            <v>H. Yên Lạc</v>
          </cell>
          <cell r="F80">
            <v>79</v>
          </cell>
          <cell r="H80" t="str">
            <v>WM+</v>
          </cell>
          <cell r="I80" t="str">
            <v>SAFEFAST</v>
          </cell>
        </row>
        <row r="81">
          <cell r="B81" t="str">
            <v>5830</v>
          </cell>
          <cell r="C81" t="str">
            <v>WM+ VPC TDP Độc Lập, Bình Xuyên</v>
          </cell>
          <cell r="D81" t="str">
            <v>T. Vĩnh Phúc</v>
          </cell>
          <cell r="E81" t="str">
            <v>H. Yên Lạc</v>
          </cell>
          <cell r="F81">
            <v>80</v>
          </cell>
          <cell r="H81" t="str">
            <v>WM+</v>
          </cell>
          <cell r="I81" t="str">
            <v>SAFEFAST</v>
          </cell>
        </row>
        <row r="82">
          <cell r="B82" t="str">
            <v>5042</v>
          </cell>
          <cell r="C82" t="str">
            <v>WM+ VPC Khu 3 Thôn Đoài, Đường DT 305</v>
          </cell>
          <cell r="D82" t="str">
            <v>T. Vĩnh Phúc</v>
          </cell>
          <cell r="E82" t="str">
            <v>H. Yên Lạc</v>
          </cell>
          <cell r="F82">
            <v>81</v>
          </cell>
          <cell r="H82" t="str">
            <v>WM+</v>
          </cell>
          <cell r="I82" t="str">
            <v>SAFEFAST</v>
          </cell>
        </row>
        <row r="83">
          <cell r="B83" t="str">
            <v>5131</v>
          </cell>
          <cell r="C83" t="str">
            <v>WM+ VPC Khu 3 Thôn Đoài, Đường DT 303</v>
          </cell>
          <cell r="D83" t="str">
            <v>T. Vĩnh Phúc</v>
          </cell>
          <cell r="E83" t="str">
            <v>H. Yên Lạc</v>
          </cell>
          <cell r="F83">
            <v>82</v>
          </cell>
          <cell r="H83" t="str">
            <v>WM+</v>
          </cell>
          <cell r="I83" t="str">
            <v>SAFEFAST</v>
          </cell>
        </row>
        <row r="84">
          <cell r="B84" t="str">
            <v>2BRO</v>
          </cell>
          <cell r="C84" t="str">
            <v>WM+ PTO TDP 3 Tiên, Yên Lạc</v>
          </cell>
          <cell r="D84" t="str">
            <v>T. Vĩnh Phúc</v>
          </cell>
          <cell r="E84" t="str">
            <v>H. Yên Lạc</v>
          </cell>
          <cell r="F84">
            <v>83</v>
          </cell>
          <cell r="H84" t="str">
            <v>WM+</v>
          </cell>
          <cell r="I84" t="str">
            <v>SAFEFAST</v>
          </cell>
        </row>
        <row r="85">
          <cell r="B85" t="str">
            <v>2BHW</v>
          </cell>
          <cell r="C85" t="str">
            <v>WM+ PTO Cung Thượng, Yên Lạc</v>
          </cell>
          <cell r="D85" t="str">
            <v>T. Vĩnh Phúc</v>
          </cell>
          <cell r="E85" t="str">
            <v>H. Yên Lạc</v>
          </cell>
          <cell r="F85">
            <v>84</v>
          </cell>
          <cell r="H85" t="str">
            <v>WM+</v>
          </cell>
          <cell r="I85" t="str">
            <v>SAFEFAST</v>
          </cell>
        </row>
        <row r="86">
          <cell r="B86" t="str">
            <v>5679</v>
          </cell>
          <cell r="C86" t="str">
            <v>WM+ VPC Ngã 5 Tam Hồng, Yên Lạc</v>
          </cell>
          <cell r="D86" t="str">
            <v>T. Vĩnh Phúc</v>
          </cell>
          <cell r="E86" t="str">
            <v>H. Yên Lạc</v>
          </cell>
          <cell r="F86">
            <v>85</v>
          </cell>
          <cell r="H86" t="str">
            <v>WM+</v>
          </cell>
          <cell r="I86" t="str">
            <v>SAFEFAST</v>
          </cell>
        </row>
        <row r="87">
          <cell r="B87" t="str">
            <v>6968</v>
          </cell>
          <cell r="C87" t="str">
            <v>WM+ VPC Tảo Phú, Yên Lạc</v>
          </cell>
          <cell r="D87" t="str">
            <v>T. Vĩnh Phúc</v>
          </cell>
          <cell r="E87" t="str">
            <v>H. Yên Lạc</v>
          </cell>
          <cell r="F87">
            <v>86</v>
          </cell>
          <cell r="H87" t="str">
            <v>WM+</v>
          </cell>
          <cell r="I87" t="str">
            <v>SAFEFAST</v>
          </cell>
        </row>
        <row r="88">
          <cell r="B88" t="str">
            <v>6049</v>
          </cell>
          <cell r="C88" t="str">
            <v>WM+ VPC Phố Lồ, Yên Lạc</v>
          </cell>
          <cell r="D88" t="str">
            <v>T. Vĩnh Phúc</v>
          </cell>
          <cell r="E88" t="str">
            <v>H. Yên Lạc</v>
          </cell>
          <cell r="F88">
            <v>87</v>
          </cell>
          <cell r="H88" t="str">
            <v>WM+</v>
          </cell>
          <cell r="I88" t="str">
            <v>SAFEFAST</v>
          </cell>
        </row>
        <row r="89">
          <cell r="B89" t="str">
            <v>2BOB</v>
          </cell>
          <cell r="C89" t="str">
            <v>WM+ PTO Gảnh Đá, Nguyệt Đức</v>
          </cell>
          <cell r="D89" t="str">
            <v>T. Vĩnh Phúc</v>
          </cell>
          <cell r="E89" t="str">
            <v>H. Yên Lạc</v>
          </cell>
          <cell r="F89">
            <v>88</v>
          </cell>
          <cell r="H89" t="str">
            <v>WM+</v>
          </cell>
          <cell r="I89" t="str">
            <v>SAFEFAST</v>
          </cell>
        </row>
        <row r="90">
          <cell r="B90" t="str">
            <v>2BPR</v>
          </cell>
          <cell r="C90" t="str">
            <v>WM+ PTO Nhật Chiêu 4, Liên Châu</v>
          </cell>
          <cell r="D90" t="str">
            <v>T. Vĩnh Phúc</v>
          </cell>
          <cell r="E90" t="str">
            <v>H. Yên Lạc</v>
          </cell>
          <cell r="F90">
            <v>89</v>
          </cell>
          <cell r="H90" t="str">
            <v>WM+</v>
          </cell>
          <cell r="I90" t="str">
            <v>SAFEFAST</v>
          </cell>
        </row>
        <row r="91">
          <cell r="B91" t="str">
            <v>2BCC</v>
          </cell>
          <cell r="C91" t="str">
            <v>WM+ PTO Đại Tự 2, Liên Châu</v>
          </cell>
          <cell r="D91" t="str">
            <v>T. Vĩnh Phúc</v>
          </cell>
          <cell r="E91" t="str">
            <v>H. Yên Lạc</v>
          </cell>
          <cell r="F91">
            <v>90</v>
          </cell>
          <cell r="H91" t="str">
            <v>WM+</v>
          </cell>
          <cell r="I91" t="str">
            <v>SAFEFAST</v>
          </cell>
        </row>
        <row r="92">
          <cell r="B92" t="str">
            <v>2B05</v>
          </cell>
          <cell r="C92" t="str">
            <v>WM+ VPC Yên Đồng, Yên Lạc</v>
          </cell>
          <cell r="D92" t="str">
            <v>T. Vĩnh Phúc</v>
          </cell>
          <cell r="E92" t="str">
            <v>H. Yên Lạc</v>
          </cell>
          <cell r="F92">
            <v>91</v>
          </cell>
          <cell r="H92" t="str">
            <v>WM+</v>
          </cell>
          <cell r="I92" t="str">
            <v>SAFEFAST</v>
          </cell>
        </row>
        <row r="93">
          <cell r="B93" t="str">
            <v>6524</v>
          </cell>
          <cell r="C93" t="str">
            <v>WM+ VPC Thôn Chùa, Vĩnh Tường</v>
          </cell>
          <cell r="D93" t="str">
            <v>T. Vĩnh Phúc</v>
          </cell>
          <cell r="E93" t="str">
            <v>H. Vĩnh Tường</v>
          </cell>
          <cell r="F93">
            <v>92</v>
          </cell>
          <cell r="H93" t="str">
            <v>WM+</v>
          </cell>
          <cell r="I93" t="str">
            <v>SAFEFAST</v>
          </cell>
        </row>
        <row r="94">
          <cell r="B94" t="str">
            <v>6480</v>
          </cell>
          <cell r="C94" t="str">
            <v>WM+ VPC Khu 4 TT Tứ Trưng</v>
          </cell>
          <cell r="D94" t="str">
            <v>T. Vĩnh Phúc</v>
          </cell>
          <cell r="E94" t="str">
            <v>H. Vĩnh Tường</v>
          </cell>
          <cell r="F94">
            <v>93</v>
          </cell>
          <cell r="H94" t="str">
            <v>WM+</v>
          </cell>
          <cell r="I94" t="str">
            <v>SAFEFAST</v>
          </cell>
        </row>
        <row r="95">
          <cell r="B95" t="str">
            <v>2AD1</v>
          </cell>
          <cell r="C95" t="str">
            <v>WM+ VPC Lê Xoay, TT Vĩnh Tường</v>
          </cell>
          <cell r="D95" t="str">
            <v>T. Vĩnh Phúc</v>
          </cell>
          <cell r="E95" t="str">
            <v>H. Vĩnh Tường</v>
          </cell>
          <cell r="F95">
            <v>94</v>
          </cell>
          <cell r="H95" t="str">
            <v>WM+</v>
          </cell>
          <cell r="I95" t="str">
            <v>SAFEFAST</v>
          </cell>
        </row>
        <row r="96">
          <cell r="B96" t="str">
            <v>2BLI</v>
          </cell>
          <cell r="C96" t="str">
            <v>WM+ PTO Thôn Trung, Thổ Tang</v>
          </cell>
          <cell r="D96" t="str">
            <v>T. Vĩnh Phúc</v>
          </cell>
          <cell r="E96" t="str">
            <v>H. Vĩnh Tường</v>
          </cell>
          <cell r="F96">
            <v>95</v>
          </cell>
          <cell r="H96" t="str">
            <v>WM+</v>
          </cell>
          <cell r="I96" t="str">
            <v>SAFEFAST</v>
          </cell>
        </row>
        <row r="97">
          <cell r="B97" t="str">
            <v>6353</v>
          </cell>
          <cell r="C97" t="str">
            <v>WM+ VPC Hoàng Xá Đình, Vĩnh Tường</v>
          </cell>
          <cell r="D97" t="str">
            <v>T. Vĩnh Phúc</v>
          </cell>
          <cell r="E97" t="str">
            <v>H. Vĩnh Tường</v>
          </cell>
          <cell r="F97">
            <v>96</v>
          </cell>
          <cell r="H97" t="str">
            <v>WM+</v>
          </cell>
          <cell r="I97" t="str">
            <v>SAFEFAST</v>
          </cell>
        </row>
        <row r="98">
          <cell r="B98" t="str">
            <v>5924</v>
          </cell>
          <cell r="C98" t="str">
            <v>WM+ VPC TDP Đội Cấn, Vĩnh Tường</v>
          </cell>
          <cell r="D98" t="str">
            <v>T. Vĩnh Phúc</v>
          </cell>
          <cell r="E98" t="str">
            <v>H. Vĩnh Tường</v>
          </cell>
          <cell r="F98">
            <v>97</v>
          </cell>
          <cell r="H98" t="str">
            <v>WM+</v>
          </cell>
          <cell r="I98" t="str">
            <v>SAFEFAST</v>
          </cell>
        </row>
        <row r="99">
          <cell r="B99" t="str">
            <v>6930</v>
          </cell>
          <cell r="C99" t="str">
            <v>WM+ VPC Xuân Húc 2, Vĩnh Tường</v>
          </cell>
          <cell r="D99" t="str">
            <v>T. Vĩnh Phúc</v>
          </cell>
          <cell r="E99" t="str">
            <v>H. Vĩnh Tường</v>
          </cell>
          <cell r="F99">
            <v>98</v>
          </cell>
          <cell r="H99" t="str">
            <v>WM+</v>
          </cell>
          <cell r="I99" t="str">
            <v>SAFEFAST</v>
          </cell>
        </row>
        <row r="100">
          <cell r="B100" t="str">
            <v>5994</v>
          </cell>
          <cell r="C100" t="str">
            <v>WM+ VPC Giã Bàng, Yên Lạc</v>
          </cell>
          <cell r="D100" t="str">
            <v>T. Vĩnh Phúc</v>
          </cell>
          <cell r="E100" t="str">
            <v>H. Vĩnh Tường</v>
          </cell>
          <cell r="F100">
            <v>99</v>
          </cell>
          <cell r="H100" t="str">
            <v>WM+</v>
          </cell>
          <cell r="I100" t="str">
            <v>SAFEFAST</v>
          </cell>
        </row>
        <row r="101">
          <cell r="B101" t="str">
            <v>6109</v>
          </cell>
          <cell r="C101" t="str">
            <v>WM+ VPC Ngọc Động, Vĩnh Tường</v>
          </cell>
          <cell r="D101" t="str">
            <v>T. Vĩnh Phúc</v>
          </cell>
          <cell r="E101" t="str">
            <v>H. Vĩnh Tường</v>
          </cell>
          <cell r="F101">
            <v>100</v>
          </cell>
          <cell r="H101" t="str">
            <v>WM+</v>
          </cell>
          <cell r="I101" t="str">
            <v>SAFEFAST</v>
          </cell>
        </row>
        <row r="102">
          <cell r="B102" t="str">
            <v>5960</v>
          </cell>
          <cell r="C102" t="str">
            <v>WM+ VPC Trần Nguyên Hãn</v>
          </cell>
          <cell r="D102" t="str">
            <v>T. Vĩnh Phúc</v>
          </cell>
          <cell r="E102" t="str">
            <v>H. Vĩnh Tường</v>
          </cell>
          <cell r="F102">
            <v>101</v>
          </cell>
          <cell r="H102" t="str">
            <v>WM+</v>
          </cell>
          <cell r="I102" t="str">
            <v>SAFEFAST</v>
          </cell>
        </row>
        <row r="103">
          <cell r="B103" t="str">
            <v>6018</v>
          </cell>
          <cell r="C103" t="str">
            <v>WM+ VPC Bắc Cường, Vĩnh Tường</v>
          </cell>
          <cell r="D103" t="str">
            <v>T. Vĩnh Phúc</v>
          </cell>
          <cell r="E103" t="str">
            <v>H. Vĩnh Tường</v>
          </cell>
          <cell r="F103">
            <v>102</v>
          </cell>
          <cell r="H103" t="str">
            <v>WM+</v>
          </cell>
          <cell r="I103" t="str">
            <v>SAFEFAST</v>
          </cell>
        </row>
        <row r="104">
          <cell r="B104" t="str">
            <v>6288</v>
          </cell>
          <cell r="C104" t="str">
            <v>WM+ VPC Bồ Sao, Vĩnh Tường</v>
          </cell>
          <cell r="D104" t="str">
            <v>T. Vĩnh Phúc</v>
          </cell>
          <cell r="E104" t="str">
            <v>H. Vĩnh Tường</v>
          </cell>
          <cell r="F104">
            <v>103</v>
          </cell>
          <cell r="H104" t="str">
            <v>WM+</v>
          </cell>
          <cell r="I104" t="str">
            <v>SAFEFAST</v>
          </cell>
        </row>
        <row r="105">
          <cell r="B105" t="str">
            <v>2BGB</v>
          </cell>
          <cell r="C105" t="str">
            <v>WM+ PTO Thôn Trung, Vĩnh Thành</v>
          </cell>
          <cell r="D105" t="str">
            <v>T. Vĩnh Phúc</v>
          </cell>
          <cell r="E105" t="str">
            <v>H. Vĩnh Tường</v>
          </cell>
          <cell r="F105">
            <v>104</v>
          </cell>
          <cell r="H105" t="str">
            <v>WM+</v>
          </cell>
          <cell r="I105" t="str">
            <v>SAFEFAST</v>
          </cell>
        </row>
        <row r="106">
          <cell r="B106" t="str">
            <v>2BM0</v>
          </cell>
          <cell r="C106" t="str">
            <v>WM+ PTO Thôn Mới, Vĩnh Hưng</v>
          </cell>
          <cell r="D106" t="str">
            <v>T. Vĩnh Phúc</v>
          </cell>
          <cell r="E106" t="str">
            <v>H. Vĩnh Tường</v>
          </cell>
          <cell r="F106">
            <v>105</v>
          </cell>
          <cell r="H106" t="str">
            <v>WM+</v>
          </cell>
          <cell r="I106" t="str">
            <v>SAFEFAST</v>
          </cell>
        </row>
        <row r="107">
          <cell r="B107" t="str">
            <v>2CAX</v>
          </cell>
          <cell r="C107" t="str">
            <v>WM+ PTO Thôn Chợ, Vĩnh Hưng</v>
          </cell>
          <cell r="D107" t="str">
            <v>T. Vĩnh Phúc</v>
          </cell>
          <cell r="E107" t="str">
            <v>H. Vĩnh Tường</v>
          </cell>
          <cell r="F107">
            <v>106</v>
          </cell>
          <cell r="H107" t="str">
            <v>WMP</v>
          </cell>
          <cell r="I107" t="str">
            <v>SAFEFAST</v>
          </cell>
        </row>
        <row r="108">
          <cell r="B108" t="str">
            <v>6258</v>
          </cell>
          <cell r="C108" t="str">
            <v>WM+ VPC Đại Đồng, Vĩnh Tường</v>
          </cell>
          <cell r="D108" t="str">
            <v>T. Vĩnh Phúc</v>
          </cell>
          <cell r="E108" t="str">
            <v>H. Vĩnh Tường</v>
          </cell>
          <cell r="F108">
            <v>107</v>
          </cell>
          <cell r="H108" t="str">
            <v>WM+</v>
          </cell>
          <cell r="I108" t="str">
            <v>SAFEFAST</v>
          </cell>
        </row>
        <row r="109">
          <cell r="B109" t="str">
            <v>6621</v>
          </cell>
          <cell r="C109" t="str">
            <v>WM+ VPC Phố Kiệu, Vĩnh Tường</v>
          </cell>
          <cell r="D109" t="str">
            <v>T. Vĩnh Phúc</v>
          </cell>
          <cell r="E109" t="str">
            <v>H. Vĩnh Tường</v>
          </cell>
          <cell r="F109">
            <v>108</v>
          </cell>
          <cell r="H109" t="str">
            <v>WM+</v>
          </cell>
          <cell r="I109" t="str">
            <v>SAFEFAST</v>
          </cell>
        </row>
        <row r="110">
          <cell r="B110" t="str">
            <v>2BDI</v>
          </cell>
          <cell r="C110" t="str">
            <v>WM+ PTO Phú Nông, Vĩnh An</v>
          </cell>
          <cell r="D110" t="str">
            <v>T. Vĩnh Phúc</v>
          </cell>
          <cell r="E110" t="str">
            <v>H. Vĩnh Tường</v>
          </cell>
          <cell r="F110">
            <v>109</v>
          </cell>
          <cell r="H110" t="str">
            <v>WM+</v>
          </cell>
          <cell r="I110" t="str">
            <v>SAFEFAST</v>
          </cell>
        </row>
        <row r="111">
          <cell r="B111" t="str">
            <v>6470</v>
          </cell>
          <cell r="C111" t="str">
            <v>WM+ VPC Hoàng Đan, Tam Dương</v>
          </cell>
          <cell r="D111" t="str">
            <v>T. Vĩnh Phúc</v>
          </cell>
          <cell r="E111" t="str">
            <v>H. Vĩnh Tường</v>
          </cell>
          <cell r="F111">
            <v>110</v>
          </cell>
          <cell r="H111" t="str">
            <v>WM+</v>
          </cell>
          <cell r="I111" t="str">
            <v>SAFEFAST</v>
          </cell>
        </row>
        <row r="112">
          <cell r="B112" t="str">
            <v>6233</v>
          </cell>
          <cell r="C112" t="str">
            <v>WM+ HBH Tiểu Khu 6 TT Lương Sơn</v>
          </cell>
          <cell r="D112" t="str">
            <v>T. Hòa Bình</v>
          </cell>
          <cell r="E112" t="str">
            <v>H. Lương Sơn</v>
          </cell>
          <cell r="F112">
            <v>111</v>
          </cell>
          <cell r="H112" t="str">
            <v>WMP</v>
          </cell>
          <cell r="I112" t="str">
            <v>HTVINA</v>
          </cell>
        </row>
        <row r="113">
          <cell r="B113" t="str">
            <v>2CKR</v>
          </cell>
          <cell r="C113" t="str">
            <v>WM+ PTO Thôn Chợ Bến, X. Cao Dương</v>
          </cell>
          <cell r="D113" t="str">
            <v>T. Hòa Bình</v>
          </cell>
          <cell r="E113" t="str">
            <v>H. Lương Sơn</v>
          </cell>
          <cell r="F113">
            <v>112</v>
          </cell>
          <cell r="I113" t="str">
            <v>HTVINA</v>
          </cell>
        </row>
        <row r="114">
          <cell r="B114" t="str">
            <v>5373</v>
          </cell>
          <cell r="C114" t="str">
            <v>WM+ HBH 444 Cù Chính Lan</v>
          </cell>
          <cell r="D114" t="str">
            <v>T. Hòa Bình</v>
          </cell>
          <cell r="E114" t="str">
            <v>TP. Hòa Bình</v>
          </cell>
          <cell r="F114">
            <v>113</v>
          </cell>
          <cell r="H114" t="str">
            <v>WMP</v>
          </cell>
          <cell r="I114" t="str">
            <v>HTVINA</v>
          </cell>
        </row>
        <row r="115">
          <cell r="B115" t="str">
            <v>1648</v>
          </cell>
          <cell r="C115" t="str">
            <v>WM VCP HBH Hòa Bình</v>
          </cell>
          <cell r="D115" t="str">
            <v>T. Hòa Bình</v>
          </cell>
          <cell r="E115" t="str">
            <v>TP. Hòa Bình</v>
          </cell>
          <cell r="F115">
            <v>114</v>
          </cell>
          <cell r="H115" t="str">
            <v>WMT</v>
          </cell>
          <cell r="I115" t="str">
            <v>HTVINA</v>
          </cell>
        </row>
        <row r="116">
          <cell r="B116" t="str">
            <v>5348</v>
          </cell>
          <cell r="C116" t="str">
            <v>WM+ HBH 490 Trần Hưng Đạo</v>
          </cell>
          <cell r="D116" t="str">
            <v>T. Hòa Bình</v>
          </cell>
          <cell r="E116" t="str">
            <v>TP. Hòa Bình</v>
          </cell>
          <cell r="F116">
            <v>115</v>
          </cell>
          <cell r="H116" t="str">
            <v>WMP</v>
          </cell>
          <cell r="I116" t="str">
            <v>HTVINA</v>
          </cell>
        </row>
        <row r="117">
          <cell r="B117" t="str">
            <v>2AG5</v>
          </cell>
          <cell r="C117" t="str">
            <v>WM+ HBH 841 An Dương Vương</v>
          </cell>
          <cell r="D117" t="str">
            <v>T. Hòa Bình</v>
          </cell>
          <cell r="E117" t="str">
            <v>TP. Hòa Bình</v>
          </cell>
          <cell r="F117">
            <v>116</v>
          </cell>
          <cell r="H117" t="str">
            <v>WMP</v>
          </cell>
          <cell r="I117" t="str">
            <v>HTVINA</v>
          </cell>
        </row>
        <row r="118">
          <cell r="B118" t="str">
            <v>5497</v>
          </cell>
          <cell r="C118" t="str">
            <v>WM+ HBH 665 Cù Chính Lan</v>
          </cell>
          <cell r="D118" t="str">
            <v>T. Hòa Bình</v>
          </cell>
          <cell r="E118" t="str">
            <v>TP. Hòa Bình</v>
          </cell>
          <cell r="F118">
            <v>117</v>
          </cell>
          <cell r="H118" t="str">
            <v>WMP</v>
          </cell>
          <cell r="I118" t="str">
            <v>HTVINA</v>
          </cell>
        </row>
        <row r="119">
          <cell r="B119" t="str">
            <v>2CAT</v>
          </cell>
          <cell r="C119" t="str">
            <v xml:space="preserve">WM+ PTO 02 Lê Thánh Tông </v>
          </cell>
          <cell r="D119" t="str">
            <v>T. Hòa Bình</v>
          </cell>
          <cell r="E119" t="str">
            <v>TP. Hòa Bình</v>
          </cell>
          <cell r="F119">
            <v>118</v>
          </cell>
          <cell r="H119" t="str">
            <v>WMP</v>
          </cell>
          <cell r="I119" t="str">
            <v>HTVINA</v>
          </cell>
        </row>
        <row r="120">
          <cell r="B120" t="str">
            <v>2BAR</v>
          </cell>
          <cell r="C120" t="str">
            <v>WM+ PTO 642-644 Cù Chính Lan</v>
          </cell>
          <cell r="D120" t="str">
            <v>T. Hòa Bình</v>
          </cell>
          <cell r="E120" t="str">
            <v>TP. Hòa Bình</v>
          </cell>
          <cell r="F120">
            <v>119</v>
          </cell>
          <cell r="H120" t="str">
            <v>WMP</v>
          </cell>
          <cell r="I120" t="str">
            <v>HTVINA</v>
          </cell>
        </row>
        <row r="121">
          <cell r="B121" t="str">
            <v>5311</v>
          </cell>
          <cell r="C121" t="str">
            <v>WM+ HBH 469 Hoàng Văn Thụ</v>
          </cell>
          <cell r="D121" t="str">
            <v>T. Hòa Bình</v>
          </cell>
          <cell r="E121" t="str">
            <v>TP. Hòa Bình</v>
          </cell>
          <cell r="F121">
            <v>120</v>
          </cell>
          <cell r="H121" t="str">
            <v>WMP</v>
          </cell>
          <cell r="I121" t="str">
            <v>HTVINA</v>
          </cell>
        </row>
        <row r="122">
          <cell r="B122" t="str">
            <v>2BIU</v>
          </cell>
          <cell r="C122" t="str">
            <v>WM+ PTO 301-303 Trần Hưng Đạo</v>
          </cell>
          <cell r="D122" t="str">
            <v>T. Hòa Bình</v>
          </cell>
          <cell r="E122" t="str">
            <v>TP. Hòa Bình</v>
          </cell>
          <cell r="F122">
            <v>121</v>
          </cell>
          <cell r="H122" t="str">
            <v>WMP</v>
          </cell>
          <cell r="I122" t="str">
            <v>HTVINA</v>
          </cell>
        </row>
        <row r="123">
          <cell r="B123" t="str">
            <v>5322</v>
          </cell>
          <cell r="C123" t="str">
            <v>WM+ HBH Tổ 8 Phường Hữu Nghị</v>
          </cell>
          <cell r="D123" t="str">
            <v>T. Hòa Bình</v>
          </cell>
          <cell r="E123" t="str">
            <v>TP. Hòa Bình</v>
          </cell>
          <cell r="F123">
            <v>122</v>
          </cell>
          <cell r="H123" t="str">
            <v>WMP</v>
          </cell>
          <cell r="I123" t="str">
            <v>HTVINA</v>
          </cell>
        </row>
        <row r="124">
          <cell r="B124" t="str">
            <v>6125</v>
          </cell>
          <cell r="C124" t="str">
            <v>WM+ HBH Toà Ann House, Tân Thịnh</v>
          </cell>
          <cell r="D124" t="str">
            <v>T. Hòa Bình</v>
          </cell>
          <cell r="E124" t="str">
            <v>TP. Hòa Bình</v>
          </cell>
          <cell r="F124">
            <v>123</v>
          </cell>
          <cell r="H124" t="str">
            <v>WMP</v>
          </cell>
          <cell r="I124" t="str">
            <v>HTVINA</v>
          </cell>
        </row>
        <row r="125">
          <cell r="B125" t="str">
            <v>5438</v>
          </cell>
          <cell r="C125" t="str">
            <v>WM+ HBH Tổ 09 Phường Tân Thịnh</v>
          </cell>
          <cell r="D125" t="str">
            <v>T. Hòa Bình</v>
          </cell>
          <cell r="E125" t="str">
            <v>TP. Hòa Bình</v>
          </cell>
          <cell r="F125">
            <v>124</v>
          </cell>
          <cell r="H125" t="str">
            <v>WMP</v>
          </cell>
          <cell r="I125" t="str">
            <v>HTVINA</v>
          </cell>
        </row>
        <row r="126">
          <cell r="B126" t="str">
            <v>5349</v>
          </cell>
          <cell r="C126" t="str">
            <v>WM+ HBH 253 Phùng Hưng</v>
          </cell>
          <cell r="D126" t="str">
            <v>T. Hòa Bình</v>
          </cell>
          <cell r="E126" t="str">
            <v>TP. Hòa Bình</v>
          </cell>
          <cell r="F126">
            <v>125</v>
          </cell>
          <cell r="H126" t="str">
            <v>WMP</v>
          </cell>
          <cell r="I126" t="str">
            <v>HTVINA</v>
          </cell>
        </row>
        <row r="127">
          <cell r="B127" t="str">
            <v>2CCJ</v>
          </cell>
          <cell r="C127" t="str">
            <v>WM+ PTO 257 Hoàng Văn Thụ</v>
          </cell>
          <cell r="D127" t="str">
            <v>T. Hòa Bình</v>
          </cell>
          <cell r="E127" t="str">
            <v>TP. Hòa Bình</v>
          </cell>
          <cell r="F127">
            <v>126</v>
          </cell>
          <cell r="H127" t="str">
            <v>WMP</v>
          </cell>
          <cell r="I127" t="str">
            <v>HTVINA</v>
          </cell>
        </row>
        <row r="128">
          <cell r="B128" t="str">
            <v>6584</v>
          </cell>
          <cell r="C128" t="str">
            <v>WM+ HBH Tiểu khu Thạch Lý, Đà Bắc</v>
          </cell>
          <cell r="D128" t="str">
            <v>T. Hòa Bình</v>
          </cell>
          <cell r="E128" t="str">
            <v>H. Đà Bắc</v>
          </cell>
          <cell r="F128">
            <v>127</v>
          </cell>
          <cell r="H128" t="str">
            <v>WMP</v>
          </cell>
          <cell r="I128" t="str">
            <v>HTVINA</v>
          </cell>
        </row>
        <row r="129">
          <cell r="B129" t="str">
            <v>2CAA</v>
          </cell>
          <cell r="C129" t="str">
            <v>WM+ PTO Xóm Sơn Phú, Cao Sơn</v>
          </cell>
          <cell r="D129" t="str">
            <v>T. Hòa Bình</v>
          </cell>
          <cell r="E129" t="str">
            <v>H. Đà Bắc</v>
          </cell>
          <cell r="F129">
            <v>128</v>
          </cell>
          <cell r="H129" t="str">
            <v>WMP</v>
          </cell>
          <cell r="I129" t="str">
            <v>HTVINA</v>
          </cell>
        </row>
        <row r="130">
          <cell r="B130" t="str">
            <v>6755</v>
          </cell>
          <cell r="C130" t="str">
            <v>WM+ HBH Khu 5, TT Cao Phong</v>
          </cell>
          <cell r="D130" t="str">
            <v>T. Hòa Bình</v>
          </cell>
          <cell r="E130" t="str">
            <v>H. Cao Phong</v>
          </cell>
          <cell r="F130">
            <v>129</v>
          </cell>
          <cell r="H130" t="str">
            <v>WMP</v>
          </cell>
          <cell r="I130" t="str">
            <v>HTVINA</v>
          </cell>
        </row>
        <row r="131">
          <cell r="B131" t="str">
            <v>6442</v>
          </cell>
          <cell r="C131" t="str">
            <v>WM+ HBH Tiểu khu 3, TT Mai Châu</v>
          </cell>
          <cell r="D131" t="str">
            <v>T. Hòa Bình</v>
          </cell>
          <cell r="E131" t="str">
            <v>H. Mai Châu</v>
          </cell>
          <cell r="F131">
            <v>130</v>
          </cell>
          <cell r="H131" t="str">
            <v>WMP</v>
          </cell>
          <cell r="I131" t="str">
            <v>HTVINA</v>
          </cell>
        </row>
        <row r="132">
          <cell r="B132" t="str">
            <v>2BYC</v>
          </cell>
          <cell r="C132" t="str">
            <v xml:space="preserve">WM+ PTO 77 Khu Tâm Đức </v>
          </cell>
          <cell r="D132" t="str">
            <v>T. Hòa Bình</v>
          </cell>
          <cell r="E132" t="str">
            <v>H. Tân Lạc</v>
          </cell>
          <cell r="F132">
            <v>131</v>
          </cell>
          <cell r="H132" t="str">
            <v>WMP</v>
          </cell>
          <cell r="I132" t="str">
            <v>HTVINA</v>
          </cell>
        </row>
        <row r="133">
          <cell r="B133" t="str">
            <v>2CCX</v>
          </cell>
          <cell r="C133" t="str">
            <v>WM+ PTO Xóm Nen 2, Tân Lạc</v>
          </cell>
          <cell r="D133" t="str">
            <v>T. Hòa Bình</v>
          </cell>
          <cell r="E133" t="str">
            <v>H. Tân Lạc</v>
          </cell>
          <cell r="F133">
            <v>132</v>
          </cell>
          <cell r="H133" t="str">
            <v>WMP</v>
          </cell>
          <cell r="I133" t="str">
            <v>HTVINA</v>
          </cell>
        </row>
        <row r="134">
          <cell r="B134" t="str">
            <v>2ACP</v>
          </cell>
          <cell r="C134" t="str">
            <v>WM+ HBH 23-25 Thống Nhất</v>
          </cell>
          <cell r="D134" t="str">
            <v>T. Hòa Bình</v>
          </cell>
          <cell r="E134" t="str">
            <v>H. Lạc Sơn</v>
          </cell>
          <cell r="F134">
            <v>133</v>
          </cell>
          <cell r="H134" t="str">
            <v>WMP</v>
          </cell>
          <cell r="I134" t="str">
            <v>HTVINA</v>
          </cell>
        </row>
        <row r="135">
          <cell r="B135" t="str">
            <v>2BNW</v>
          </cell>
          <cell r="C135" t="str">
            <v>WM+ PTO Ninh Sơn, Yên Phú</v>
          </cell>
          <cell r="D135" t="str">
            <v>T. Hòa Bình</v>
          </cell>
          <cell r="E135" t="str">
            <v>H. Lạc Sơn</v>
          </cell>
          <cell r="F135">
            <v>134</v>
          </cell>
          <cell r="H135" t="str">
            <v>WMP</v>
          </cell>
          <cell r="I135" t="str">
            <v>HTVINA</v>
          </cell>
        </row>
        <row r="136">
          <cell r="B136" t="str">
            <v>2BWW</v>
          </cell>
          <cell r="C136" t="str">
            <v>WM+ PTO 48 Tân Giang, Lạc Sơn</v>
          </cell>
          <cell r="D136" t="str">
            <v>T. Hòa Bình</v>
          </cell>
          <cell r="E136" t="str">
            <v>H. Lạc Sơn</v>
          </cell>
          <cell r="F136">
            <v>135</v>
          </cell>
          <cell r="H136" t="str">
            <v>WMP</v>
          </cell>
          <cell r="I136" t="str">
            <v>HTVINA</v>
          </cell>
        </row>
        <row r="137">
          <cell r="B137" t="str">
            <v>2CBG</v>
          </cell>
          <cell r="C137" t="str">
            <v>WM+ PTO Lâm Hóa 1, Lạc Sơn</v>
          </cell>
          <cell r="D137" t="str">
            <v>T. Hòa Bình</v>
          </cell>
          <cell r="E137" t="str">
            <v>H. Lạc Sơn</v>
          </cell>
          <cell r="F137">
            <v>136</v>
          </cell>
          <cell r="H137" t="str">
            <v>WMP</v>
          </cell>
          <cell r="I137" t="str">
            <v>HTVINA</v>
          </cell>
        </row>
        <row r="138">
          <cell r="B138" t="str">
            <v>2ADS</v>
          </cell>
          <cell r="C138" t="str">
            <v>WM+ HBH 474 Trần Hưng Đạo</v>
          </cell>
          <cell r="D138" t="str">
            <v>T. Hòa Bình</v>
          </cell>
          <cell r="E138" t="str">
            <v>H. Yên Thủy</v>
          </cell>
          <cell r="F138">
            <v>137</v>
          </cell>
          <cell r="H138" t="str">
            <v>WMP</v>
          </cell>
          <cell r="I138" t="str">
            <v>HTVINA</v>
          </cell>
        </row>
        <row r="139">
          <cell r="B139" t="str">
            <v>2AY8</v>
          </cell>
          <cell r="C139" t="str">
            <v>WM+ HBH Khu 3, Lạc Thủy</v>
          </cell>
          <cell r="D139" t="str">
            <v>T. Hòa Bình</v>
          </cell>
          <cell r="E139" t="str">
            <v>H. Lạc Thủy</v>
          </cell>
          <cell r="F139">
            <v>138</v>
          </cell>
          <cell r="H139" t="str">
            <v>WMP</v>
          </cell>
          <cell r="I139" t="str">
            <v>HTVINA</v>
          </cell>
        </row>
        <row r="140">
          <cell r="B140" t="str">
            <v>2BZC</v>
          </cell>
          <cell r="C140" t="str">
            <v>WM+ PTO 423A Trần Hưng Đạo</v>
          </cell>
          <cell r="D140" t="str">
            <v>T. Hòa Bình</v>
          </cell>
          <cell r="E140" t="str">
            <v>H. Lạc Thủy</v>
          </cell>
          <cell r="F140">
            <v>139</v>
          </cell>
          <cell r="H140" t="str">
            <v>WMP</v>
          </cell>
          <cell r="I140" t="str">
            <v>HTVINA</v>
          </cell>
        </row>
        <row r="141">
          <cell r="B141" t="str">
            <v>6244</v>
          </cell>
          <cell r="C141" t="str">
            <v>WM+ HBH Khu Thống Nhất, TT Bo</v>
          </cell>
          <cell r="D141" t="str">
            <v>T. Hòa Bình</v>
          </cell>
          <cell r="E141" t="str">
            <v>H. Kim Bôi</v>
          </cell>
          <cell r="F141">
            <v>140</v>
          </cell>
          <cell r="H141" t="str">
            <v>WMP</v>
          </cell>
          <cell r="I141" t="str">
            <v>HTVINA</v>
          </cell>
        </row>
        <row r="142">
          <cell r="B142" t="str">
            <v>2BLD</v>
          </cell>
          <cell r="C142" t="str">
            <v>WM+ PTO Bãi Chạo, Mường Động</v>
          </cell>
          <cell r="D142" t="str">
            <v>T. Hòa Bình</v>
          </cell>
          <cell r="E142" t="str">
            <v>H. Kim Bôi</v>
          </cell>
          <cell r="F142">
            <v>141</v>
          </cell>
          <cell r="H142" t="str">
            <v>WMP</v>
          </cell>
          <cell r="I142" t="str">
            <v>HTVINA</v>
          </cell>
        </row>
        <row r="143">
          <cell r="B143" t="str">
            <v>2BGZ</v>
          </cell>
          <cell r="C143" t="str">
            <v>WM+ SLA Tiểu khu 3, Bắc Yên</v>
          </cell>
          <cell r="D143" t="str">
            <v>T. Sơn La</v>
          </cell>
          <cell r="E143" t="str">
            <v>H. Bắc Yên</v>
          </cell>
          <cell r="F143">
            <v>142</v>
          </cell>
          <cell r="H143" t="str">
            <v>WMP</v>
          </cell>
          <cell r="I143" t="str">
            <v>VIETTEL</v>
          </cell>
        </row>
        <row r="144">
          <cell r="B144" t="str">
            <v>2ADR</v>
          </cell>
          <cell r="C144" t="str">
            <v>WM+ SLA Hua Mường, Sốp Cộp</v>
          </cell>
          <cell r="D144" t="str">
            <v>T. Sơn La</v>
          </cell>
          <cell r="E144" t="str">
            <v>H. Sốp Cộp</v>
          </cell>
          <cell r="F144">
            <v>143</v>
          </cell>
          <cell r="H144" t="str">
            <v>WMP</v>
          </cell>
          <cell r="I144" t="str">
            <v>VIETTEL</v>
          </cell>
        </row>
        <row r="145">
          <cell r="B145" t="str">
            <v>2ADO</v>
          </cell>
          <cell r="C145" t="str">
            <v>WM+ SLA 93-95 đường Cách Mạng Tháng 8</v>
          </cell>
          <cell r="D145" t="str">
            <v>T. Sơn La</v>
          </cell>
          <cell r="E145" t="str">
            <v>H. Sông Mã</v>
          </cell>
          <cell r="F145">
            <v>144</v>
          </cell>
          <cell r="H145" t="str">
            <v>WMP</v>
          </cell>
          <cell r="I145" t="str">
            <v>VIETTEL</v>
          </cell>
        </row>
        <row r="146">
          <cell r="B146" t="str">
            <v>2ADF</v>
          </cell>
          <cell r="C146" t="str">
            <v>WM+ SLA Tân Lập, Chiềng Khương</v>
          </cell>
          <cell r="D146" t="str">
            <v>T. Sơn La</v>
          </cell>
          <cell r="E146" t="str">
            <v>H. Sông Mã</v>
          </cell>
          <cell r="F146">
            <v>145</v>
          </cell>
          <cell r="H146" t="str">
            <v>WMP</v>
          </cell>
          <cell r="I146" t="str">
            <v>VIETTEL</v>
          </cell>
        </row>
        <row r="147">
          <cell r="B147" t="str">
            <v>2ADM</v>
          </cell>
          <cell r="C147" t="str">
            <v>WM+ SLA 284 Tô Hiệu</v>
          </cell>
          <cell r="D147" t="str">
            <v>T. Sơn La</v>
          </cell>
          <cell r="E147" t="str">
            <v>H. Mường La</v>
          </cell>
          <cell r="F147">
            <v>146</v>
          </cell>
          <cell r="H147" t="str">
            <v>WMP</v>
          </cell>
          <cell r="I147" t="str">
            <v>VIETTEL</v>
          </cell>
        </row>
        <row r="148">
          <cell r="B148" t="str">
            <v>5312</v>
          </cell>
          <cell r="C148" t="str">
            <v>WM+ SLA 274 Trường Chinh</v>
          </cell>
          <cell r="D148" t="str">
            <v>T. Sơn La</v>
          </cell>
          <cell r="E148" t="str">
            <v>TP. Sơn La</v>
          </cell>
          <cell r="F148">
            <v>147</v>
          </cell>
          <cell r="H148" t="str">
            <v>WMP</v>
          </cell>
          <cell r="I148" t="str">
            <v>VIETTEL</v>
          </cell>
        </row>
        <row r="149">
          <cell r="B149" t="str">
            <v>5370</v>
          </cell>
          <cell r="C149" t="str">
            <v>WM+ SLA 67 Trường Chinh</v>
          </cell>
          <cell r="D149" t="str">
            <v>T. Sơn La</v>
          </cell>
          <cell r="E149" t="str">
            <v>TP. Sơn La</v>
          </cell>
          <cell r="F149">
            <v>148</v>
          </cell>
          <cell r="H149" t="str">
            <v>WMP</v>
          </cell>
          <cell r="I149" t="str">
            <v>VIETTEL</v>
          </cell>
        </row>
        <row r="150">
          <cell r="B150" t="str">
            <v>1609</v>
          </cell>
          <cell r="C150" t="str">
            <v>WM VCP SLA Sơn La</v>
          </cell>
          <cell r="D150" t="str">
            <v>T. Sơn La</v>
          </cell>
          <cell r="E150" t="str">
            <v>TP. Sơn La</v>
          </cell>
          <cell r="F150">
            <v>149</v>
          </cell>
          <cell r="H150" t="str">
            <v>WMT</v>
          </cell>
          <cell r="I150" t="str">
            <v>VIETTEL</v>
          </cell>
        </row>
        <row r="151">
          <cell r="B151" t="str">
            <v>5491</v>
          </cell>
          <cell r="C151" t="str">
            <v>WM+ SLA 17 Đường Lò Văn Giá</v>
          </cell>
          <cell r="D151" t="str">
            <v>T. Sơn La</v>
          </cell>
          <cell r="E151" t="str">
            <v>TP. Sơn La</v>
          </cell>
          <cell r="F151">
            <v>150</v>
          </cell>
          <cell r="H151" t="str">
            <v>WMP</v>
          </cell>
          <cell r="I151" t="str">
            <v>VIETTEL</v>
          </cell>
        </row>
        <row r="152">
          <cell r="B152" t="str">
            <v>5485</v>
          </cell>
          <cell r="C152" t="str">
            <v>WM+ SLA 223 Chu Văn Thịnh</v>
          </cell>
          <cell r="D152" t="str">
            <v>T. Sơn La</v>
          </cell>
          <cell r="E152" t="str">
            <v>TP. Sơn La</v>
          </cell>
          <cell r="F152">
            <v>151</v>
          </cell>
          <cell r="H152" t="str">
            <v>WMP</v>
          </cell>
          <cell r="I152" t="str">
            <v>VIETTEL</v>
          </cell>
        </row>
        <row r="153">
          <cell r="B153" t="str">
            <v>5289</v>
          </cell>
          <cell r="C153" t="str">
            <v>WM+ SLA 186 Lê Đức Thọ</v>
          </cell>
          <cell r="D153" t="str">
            <v>T. Sơn La</v>
          </cell>
          <cell r="E153" t="str">
            <v>TP. Sơn La</v>
          </cell>
          <cell r="F153">
            <v>152</v>
          </cell>
          <cell r="H153" t="str">
            <v>WMP</v>
          </cell>
          <cell r="I153" t="str">
            <v>VIETTEL</v>
          </cell>
        </row>
        <row r="154">
          <cell r="B154" t="str">
            <v>5296</v>
          </cell>
          <cell r="C154" t="str">
            <v>WM+ SLA 15 Lê Lợi</v>
          </cell>
          <cell r="D154" t="str">
            <v>T. Sơn La</v>
          </cell>
          <cell r="E154" t="str">
            <v>TP. Sơn La</v>
          </cell>
          <cell r="F154">
            <v>153</v>
          </cell>
          <cell r="H154" t="str">
            <v>WMP</v>
          </cell>
          <cell r="I154" t="str">
            <v>VIETTEL</v>
          </cell>
        </row>
        <row r="155">
          <cell r="B155" t="str">
            <v>6913</v>
          </cell>
          <cell r="C155" t="str">
            <v>WM+ SLA 124 Tổ 8 Quyết Thắng</v>
          </cell>
          <cell r="D155" t="str">
            <v>T. Sơn La</v>
          </cell>
          <cell r="E155" t="str">
            <v>TP. Sơn La</v>
          </cell>
          <cell r="F155">
            <v>154</v>
          </cell>
          <cell r="H155" t="str">
            <v>WMP</v>
          </cell>
          <cell r="I155" t="str">
            <v>VIETTEL</v>
          </cell>
        </row>
        <row r="156">
          <cell r="B156" t="str">
            <v>5350</v>
          </cell>
          <cell r="C156" t="str">
            <v>WM+ SLA 437A Trần Đăng Ninh</v>
          </cell>
          <cell r="D156" t="str">
            <v>T. Sơn La</v>
          </cell>
          <cell r="E156" t="str">
            <v>TP. Sơn La</v>
          </cell>
          <cell r="F156">
            <v>155</v>
          </cell>
          <cell r="H156" t="str">
            <v>WMP</v>
          </cell>
          <cell r="I156" t="str">
            <v>VIETTEL</v>
          </cell>
        </row>
        <row r="157">
          <cell r="B157" t="str">
            <v>5345</v>
          </cell>
          <cell r="C157" t="str">
            <v>WM+ SLA 514D Trần Đăng Ninh</v>
          </cell>
          <cell r="D157" t="str">
            <v>T. Sơn La</v>
          </cell>
          <cell r="E157" t="str">
            <v>TP. Sơn La</v>
          </cell>
          <cell r="F157">
            <v>156</v>
          </cell>
          <cell r="H157" t="str">
            <v>WMP</v>
          </cell>
          <cell r="I157" t="str">
            <v>VIETTEL</v>
          </cell>
        </row>
        <row r="158">
          <cell r="B158" t="str">
            <v>6527</v>
          </cell>
          <cell r="C158" t="str">
            <v>WM+ SLA Tổ 8 Chiềng Sinh</v>
          </cell>
          <cell r="D158" t="str">
            <v>T. Sơn La</v>
          </cell>
          <cell r="E158" t="str">
            <v>TP. Sơn La</v>
          </cell>
          <cell r="F158">
            <v>157</v>
          </cell>
          <cell r="H158" t="str">
            <v>WMP</v>
          </cell>
          <cell r="I158" t="str">
            <v>VIETTEL</v>
          </cell>
        </row>
        <row r="159">
          <cell r="B159" t="str">
            <v>2BVQ</v>
          </cell>
          <cell r="C159" t="str">
            <v>WM+ SLA 181 Bùi Thị Xuân</v>
          </cell>
          <cell r="D159" t="str">
            <v>T. Sơn La</v>
          </cell>
          <cell r="E159" t="str">
            <v>TP. Sơn La</v>
          </cell>
          <cell r="F159">
            <v>158</v>
          </cell>
          <cell r="H159" t="str">
            <v>WMP</v>
          </cell>
          <cell r="I159" t="str">
            <v>VIETTEL</v>
          </cell>
        </row>
        <row r="160">
          <cell r="B160" t="str">
            <v>2CKK</v>
          </cell>
          <cell r="C160" t="str">
            <v>WM+ SLA 282 Chu Văn Thịnh, Tô Hiệu</v>
          </cell>
          <cell r="D160" t="str">
            <v>T. Sơn La</v>
          </cell>
          <cell r="E160" t="str">
            <v>TP. Sơn La</v>
          </cell>
          <cell r="F160">
            <v>159</v>
          </cell>
          <cell r="H160" t="str">
            <v>WMP</v>
          </cell>
          <cell r="I160" t="str">
            <v>VIETTEL</v>
          </cell>
        </row>
        <row r="161">
          <cell r="B161" t="str">
            <v>2BVF</v>
          </cell>
          <cell r="C161" t="str">
            <v>WM+ SLA Tiểu khu 2, Mai Sơn</v>
          </cell>
          <cell r="D161" t="str">
            <v>T. Sơn La</v>
          </cell>
          <cell r="E161" t="str">
            <v>H. Mai Sơn</v>
          </cell>
          <cell r="F161">
            <v>160</v>
          </cell>
          <cell r="H161" t="str">
            <v>WMP</v>
          </cell>
          <cell r="I161" t="str">
            <v>VIETTEL</v>
          </cell>
        </row>
        <row r="162">
          <cell r="B162" t="str">
            <v>2CBT</v>
          </cell>
          <cell r="C162" t="str">
            <v>WM+ SLA 184, TK 14 Mai Sơn</v>
          </cell>
          <cell r="D162" t="str">
            <v>T. Sơn La</v>
          </cell>
          <cell r="E162" t="str">
            <v>H. Mai Sơn</v>
          </cell>
          <cell r="F162">
            <v>161</v>
          </cell>
          <cell r="H162" t="str">
            <v>WMP</v>
          </cell>
          <cell r="I162" t="str">
            <v>VIETTEL</v>
          </cell>
        </row>
        <row r="163">
          <cell r="B163" t="str">
            <v>6092</v>
          </cell>
          <cell r="C163" t="str">
            <v>WM+ SLA 545 Tiểu Khu 19</v>
          </cell>
          <cell r="D163" t="str">
            <v>T. Sơn La</v>
          </cell>
          <cell r="E163" t="str">
            <v>H. Mai Sơn</v>
          </cell>
          <cell r="F163">
            <v>162</v>
          </cell>
          <cell r="H163" t="str">
            <v>WMP</v>
          </cell>
          <cell r="I163" t="str">
            <v>VIETTEL</v>
          </cell>
        </row>
        <row r="164">
          <cell r="B164" t="str">
            <v>6215</v>
          </cell>
          <cell r="C164" t="str">
            <v>WM+ SLA 100-102 Tiểu Khu 12, TT Mộc Châu</v>
          </cell>
          <cell r="D164" t="str">
            <v>T. Sơn La</v>
          </cell>
          <cell r="E164" t="str">
            <v>TX. Mộc Châu</v>
          </cell>
          <cell r="F164">
            <v>163</v>
          </cell>
          <cell r="H164" t="str">
            <v>WMP</v>
          </cell>
          <cell r="I164" t="str">
            <v>VIETTEL</v>
          </cell>
        </row>
        <row r="165">
          <cell r="B165" t="str">
            <v>2CHG</v>
          </cell>
          <cell r="C165" t="str">
            <v>WM+ SLA 32 TDP 34, Mộc Sơn</v>
          </cell>
          <cell r="D165" t="str">
            <v>T. Sơn La</v>
          </cell>
          <cell r="E165" t="str">
            <v>TX. Mộc Châu</v>
          </cell>
          <cell r="F165">
            <v>164</v>
          </cell>
          <cell r="H165" t="str">
            <v>WMP</v>
          </cell>
          <cell r="I165" t="str">
            <v>VIETTEL</v>
          </cell>
        </row>
        <row r="166">
          <cell r="B166" t="str">
            <v>2AFE</v>
          </cell>
          <cell r="C166" t="str">
            <v>WM+ SLA 284 Trần Huy Liệu</v>
          </cell>
          <cell r="D166" t="str">
            <v>T. Sơn La</v>
          </cell>
          <cell r="E166" t="str">
            <v>TX. Mộc Châu</v>
          </cell>
          <cell r="F166">
            <v>165</v>
          </cell>
          <cell r="H166" t="str">
            <v>WMP</v>
          </cell>
          <cell r="I166" t="str">
            <v>VIETTEL</v>
          </cell>
        </row>
        <row r="167">
          <cell r="B167" t="str">
            <v>2AUL</v>
          </cell>
          <cell r="C167" t="str">
            <v>WM+ SLA 12-14-16 Trần Huy Liệu</v>
          </cell>
          <cell r="D167" t="str">
            <v>T. Sơn La</v>
          </cell>
          <cell r="E167" t="str">
            <v>TX. Mộc Châu</v>
          </cell>
          <cell r="F167">
            <v>166</v>
          </cell>
          <cell r="H167" t="str">
            <v>WMP</v>
          </cell>
          <cell r="I167" t="str">
            <v>VIETTEL</v>
          </cell>
        </row>
        <row r="168">
          <cell r="B168" t="str">
            <v>6099</v>
          </cell>
          <cell r="C168" t="str">
            <v>WM+ SLA Lê Thanh Nghị</v>
          </cell>
          <cell r="D168" t="str">
            <v>T. Sơn La</v>
          </cell>
          <cell r="E168" t="str">
            <v>TX. Mộc Châu</v>
          </cell>
          <cell r="F168">
            <v>167</v>
          </cell>
          <cell r="H168" t="str">
            <v>WMP</v>
          </cell>
          <cell r="I168" t="str">
            <v>VIETTEL</v>
          </cell>
        </row>
        <row r="169">
          <cell r="B169" t="str">
            <v>6154</v>
          </cell>
          <cell r="C169" t="str">
            <v>WM+ SLA 131 Tiểu khu Bệnh Viện</v>
          </cell>
          <cell r="D169" t="str">
            <v>T. Sơn La</v>
          </cell>
          <cell r="E169" t="str">
            <v>TX. Mộc Châu</v>
          </cell>
          <cell r="F169">
            <v>168</v>
          </cell>
          <cell r="H169" t="str">
            <v>WMP</v>
          </cell>
          <cell r="I169" t="str">
            <v>VIETTEL</v>
          </cell>
        </row>
        <row r="170">
          <cell r="B170" t="str">
            <v>2ADZ</v>
          </cell>
          <cell r="C170" t="str">
            <v>WM+ LCU Cầu Phà, Pa Tần</v>
          </cell>
          <cell r="D170" t="str">
            <v>T. Lai Châu</v>
          </cell>
          <cell r="E170" t="str">
            <v>H. Sìn Hồ</v>
          </cell>
          <cell r="F170">
            <v>169</v>
          </cell>
          <cell r="H170" t="str">
            <v>WMP</v>
          </cell>
          <cell r="I170" t="str">
            <v>VIETTEL</v>
          </cell>
        </row>
        <row r="171">
          <cell r="B171" t="str">
            <v>2BMT</v>
          </cell>
          <cell r="C171" t="str">
            <v>WM+ LCU 963 Lê Lợi</v>
          </cell>
          <cell r="D171" t="str">
            <v>T. Lai Châu</v>
          </cell>
          <cell r="E171" t="str">
            <v>H. Tân Uyên</v>
          </cell>
          <cell r="F171">
            <v>170</v>
          </cell>
          <cell r="H171" t="str">
            <v>WMP</v>
          </cell>
          <cell r="I171" t="str">
            <v>VIETTEL</v>
          </cell>
        </row>
        <row r="172">
          <cell r="B172" t="str">
            <v>2BEL</v>
          </cell>
          <cell r="C172" t="str">
            <v>WM+ LCU 616 Điện Biên Phủ</v>
          </cell>
          <cell r="D172" t="str">
            <v>T. Lai Châu</v>
          </cell>
          <cell r="E172" t="str">
            <v>H. Than Uyên</v>
          </cell>
          <cell r="F172">
            <v>171</v>
          </cell>
          <cell r="H172" t="str">
            <v>WMP</v>
          </cell>
          <cell r="I172" t="str">
            <v>VIETTEL</v>
          </cell>
        </row>
        <row r="173">
          <cell r="B173" t="str">
            <v>2AEA</v>
          </cell>
          <cell r="C173" t="str">
            <v>WM+ LCU Tây Sơn, Mường So</v>
          </cell>
          <cell r="D173" t="str">
            <v>T. Lai Châu</v>
          </cell>
          <cell r="E173" t="str">
            <v>H. Phong Thổ</v>
          </cell>
          <cell r="F173">
            <v>172</v>
          </cell>
          <cell r="H173" t="str">
            <v>WMP</v>
          </cell>
          <cell r="I173" t="str">
            <v>VIETTEL</v>
          </cell>
        </row>
        <row r="174">
          <cell r="B174" t="str">
            <v>6464</v>
          </cell>
          <cell r="C174" t="str">
            <v>WM+ LCU 56 Đường 30/04, Đông Phong</v>
          </cell>
          <cell r="D174" t="str">
            <v>T. Lai Châu</v>
          </cell>
          <cell r="E174" t="str">
            <v>TP. Lai Châu</v>
          </cell>
          <cell r="F174">
            <v>173</v>
          </cell>
          <cell r="H174" t="str">
            <v>WMP</v>
          </cell>
          <cell r="I174" t="str">
            <v>VIETTEL</v>
          </cell>
        </row>
        <row r="175">
          <cell r="B175" t="str">
            <v>6484</v>
          </cell>
          <cell r="C175" t="str">
            <v>WM+ LCU 91 Trần Phú</v>
          </cell>
          <cell r="D175" t="str">
            <v>T. Lai Châu</v>
          </cell>
          <cell r="E175" t="str">
            <v>TP. Lai Châu</v>
          </cell>
          <cell r="F175">
            <v>174</v>
          </cell>
          <cell r="H175" t="str">
            <v>WMP</v>
          </cell>
          <cell r="I175" t="str">
            <v>VIETTEL</v>
          </cell>
        </row>
        <row r="176">
          <cell r="B176" t="str">
            <v>6491</v>
          </cell>
          <cell r="C176" t="str">
            <v>WM+ LCU 306 Trần Hưng Đạo</v>
          </cell>
          <cell r="D176" t="str">
            <v>T. Lai Châu</v>
          </cell>
          <cell r="E176" t="str">
            <v>TP. Lai Châu</v>
          </cell>
          <cell r="F176">
            <v>175</v>
          </cell>
          <cell r="H176" t="str">
            <v>WMP</v>
          </cell>
          <cell r="I176" t="str">
            <v>VIETTEL</v>
          </cell>
        </row>
        <row r="177">
          <cell r="B177" t="str">
            <v>6620</v>
          </cell>
          <cell r="C177" t="str">
            <v>WM+ LCU 31 Hoàng Văn Thái</v>
          </cell>
          <cell r="D177" t="str">
            <v>T. Lai Châu</v>
          </cell>
          <cell r="E177" t="str">
            <v>TP. Lai Châu</v>
          </cell>
          <cell r="F177">
            <v>176</v>
          </cell>
          <cell r="H177" t="str">
            <v>WMP</v>
          </cell>
          <cell r="I177" t="str">
            <v>VIETTEL</v>
          </cell>
        </row>
        <row r="178">
          <cell r="B178" t="str">
            <v>2AJG</v>
          </cell>
          <cell r="C178" t="str">
            <v>WM+ LCU 99 Trần Hưng Đạo</v>
          </cell>
          <cell r="D178" t="str">
            <v>T. Lai Châu</v>
          </cell>
          <cell r="E178" t="str">
            <v>TP. Lai Châu</v>
          </cell>
          <cell r="F178">
            <v>177</v>
          </cell>
          <cell r="H178" t="str">
            <v>WMP</v>
          </cell>
          <cell r="I178" t="str">
            <v>VIETTEL</v>
          </cell>
        </row>
        <row r="179">
          <cell r="B179" t="str">
            <v>2ADQ</v>
          </cell>
          <cell r="C179" t="str">
            <v xml:space="preserve">WM+ LCU 260A Nguyễn Trãi </v>
          </cell>
          <cell r="D179" t="str">
            <v>T. Lai Châu</v>
          </cell>
          <cell r="E179" t="str">
            <v>TP. Lai Châu</v>
          </cell>
          <cell r="F179">
            <v>178</v>
          </cell>
          <cell r="H179" t="str">
            <v>WMP</v>
          </cell>
          <cell r="I179" t="str">
            <v>VIETTEL</v>
          </cell>
        </row>
        <row r="180">
          <cell r="B180" t="str">
            <v>1695</v>
          </cell>
          <cell r="C180" t="str">
            <v>WM LCU Lai Châu</v>
          </cell>
          <cell r="D180" t="str">
            <v>T. Lai Châu</v>
          </cell>
          <cell r="E180" t="str">
            <v>TP. Lai Châu</v>
          </cell>
          <cell r="F180">
            <v>179</v>
          </cell>
          <cell r="H180" t="str">
            <v>WMT</v>
          </cell>
          <cell r="I180" t="str">
            <v>VIETTEL</v>
          </cell>
        </row>
        <row r="181">
          <cell r="B181" t="str">
            <v>2ACF</v>
          </cell>
          <cell r="C181" t="str">
            <v>WM+ LCI 5A Phố Ràng</v>
          </cell>
          <cell r="D181" t="str">
            <v>T. Lào Cai</v>
          </cell>
          <cell r="E181" t="str">
            <v>H. Bảo Yên</v>
          </cell>
          <cell r="F181">
            <v>180</v>
          </cell>
          <cell r="H181" t="str">
            <v>WMP</v>
          </cell>
          <cell r="I181" t="str">
            <v>VTCO</v>
          </cell>
        </row>
        <row r="182">
          <cell r="B182" t="str">
            <v>2BAV</v>
          </cell>
          <cell r="C182" t="str">
            <v>WM+ LCI Tân Lợi, Gia Phú</v>
          </cell>
          <cell r="D182" t="str">
            <v>T. Lào Cai</v>
          </cell>
          <cell r="E182" t="str">
            <v>Xã Gia Phú</v>
          </cell>
          <cell r="F182">
            <v>181</v>
          </cell>
          <cell r="H182" t="str">
            <v>WMP</v>
          </cell>
          <cell r="I182" t="str">
            <v>VTCO</v>
          </cell>
        </row>
        <row r="183">
          <cell r="B183" t="str">
            <v>2BVR</v>
          </cell>
          <cell r="C183" t="str">
            <v>WM+ LCI 158-160 Quang Trung</v>
          </cell>
          <cell r="D183" t="str">
            <v>T. Lào Cai</v>
          </cell>
          <cell r="E183" t="str">
            <v>H. Văn Bàn</v>
          </cell>
          <cell r="F183">
            <v>182</v>
          </cell>
          <cell r="H183" t="str">
            <v>WMP</v>
          </cell>
          <cell r="I183" t="str">
            <v>VTCO</v>
          </cell>
        </row>
        <row r="184">
          <cell r="B184" t="str">
            <v>2ACC</v>
          </cell>
          <cell r="C184" t="str">
            <v>WM+ LCI Bản Phiệt, Bảo Thắng</v>
          </cell>
          <cell r="D184" t="str">
            <v>T. Lào Cai</v>
          </cell>
          <cell r="E184" t="str">
            <v>H. Bảo Thắng</v>
          </cell>
          <cell r="F184">
            <v>183</v>
          </cell>
          <cell r="H184" t="str">
            <v>WMP</v>
          </cell>
          <cell r="I184" t="str">
            <v>VTCO</v>
          </cell>
        </row>
        <row r="185">
          <cell r="B185" t="str">
            <v>6933</v>
          </cell>
          <cell r="C185" t="str">
            <v>WM+ LCI TDP 4, TT Tằng Lỏong</v>
          </cell>
          <cell r="D185" t="str">
            <v>T. Lào Cai</v>
          </cell>
          <cell r="E185" t="str">
            <v>H. Bảo Thắng</v>
          </cell>
          <cell r="F185">
            <v>184</v>
          </cell>
          <cell r="H185" t="str">
            <v>WMP</v>
          </cell>
          <cell r="I185" t="str">
            <v>VTCO</v>
          </cell>
        </row>
        <row r="186">
          <cell r="B186" t="str">
            <v>6313</v>
          </cell>
          <cell r="C186" t="str">
            <v>WM+ LCI 46 Đường 19-5, TT Phố Lu</v>
          </cell>
          <cell r="D186" t="str">
            <v>T. Lào Cai</v>
          </cell>
          <cell r="E186" t="str">
            <v>H. Bảo Thắng</v>
          </cell>
          <cell r="F186">
            <v>185</v>
          </cell>
          <cell r="H186" t="str">
            <v>WMP</v>
          </cell>
          <cell r="I186" t="str">
            <v>VTCO</v>
          </cell>
        </row>
        <row r="187">
          <cell r="B187" t="str">
            <v>2BMU</v>
          </cell>
          <cell r="C187" t="str">
            <v>WM+ LCI 137-139 Ngọc Uyển</v>
          </cell>
          <cell r="D187" t="str">
            <v>T. Lào Cai</v>
          </cell>
          <cell r="E187" t="str">
            <v>TT. Bắc Hà</v>
          </cell>
          <cell r="F187">
            <v>186</v>
          </cell>
          <cell r="H187" t="str">
            <v>WMP</v>
          </cell>
          <cell r="I187" t="str">
            <v>VTCO</v>
          </cell>
        </row>
        <row r="188">
          <cell r="B188" t="str">
            <v>5426</v>
          </cell>
          <cell r="C188" t="str">
            <v>WM+ LCI 050 Phan Đình Phùng</v>
          </cell>
          <cell r="D188" t="str">
            <v>T. Lào Cai</v>
          </cell>
          <cell r="E188" t="str">
            <v>TP. Lào Cai</v>
          </cell>
          <cell r="F188">
            <v>187</v>
          </cell>
          <cell r="H188" t="str">
            <v>WMP</v>
          </cell>
          <cell r="I188" t="str">
            <v>VTCO</v>
          </cell>
        </row>
        <row r="189">
          <cell r="B189" t="str">
            <v>6912</v>
          </cell>
          <cell r="C189" t="str">
            <v>WM+ LCI 102-104 Cốc Lếu</v>
          </cell>
          <cell r="D189" t="str">
            <v>T. Lào Cai</v>
          </cell>
          <cell r="E189" t="str">
            <v>TP. Lào Cai</v>
          </cell>
          <cell r="F189">
            <v>188</v>
          </cell>
          <cell r="H189" t="str">
            <v>WMP</v>
          </cell>
          <cell r="I189" t="str">
            <v>VTCO</v>
          </cell>
        </row>
        <row r="190">
          <cell r="B190" t="str">
            <v>5135</v>
          </cell>
          <cell r="C190" t="str">
            <v>WM+ LCI Số 003 Soi Tiền</v>
          </cell>
          <cell r="D190" t="str">
            <v>T. Lào Cai</v>
          </cell>
          <cell r="E190" t="str">
            <v>TP. Lào Cai</v>
          </cell>
          <cell r="F190">
            <v>189</v>
          </cell>
          <cell r="H190" t="str">
            <v>WMP</v>
          </cell>
          <cell r="I190" t="str">
            <v>VTCO</v>
          </cell>
        </row>
        <row r="191">
          <cell r="B191" t="str">
            <v>2AA6</v>
          </cell>
          <cell r="C191" t="str">
            <v>WM+ LCI 338 Hùng Vương</v>
          </cell>
          <cell r="D191" t="str">
            <v>T. Lào Cai</v>
          </cell>
          <cell r="E191" t="str">
            <v>TP. Lào Cai</v>
          </cell>
          <cell r="F191">
            <v>190</v>
          </cell>
          <cell r="H191" t="str">
            <v>WMP</v>
          </cell>
          <cell r="I191" t="str">
            <v>VTCO</v>
          </cell>
        </row>
        <row r="192">
          <cell r="B192" t="str">
            <v>5064</v>
          </cell>
          <cell r="C192" t="str">
            <v>WM+ LCI 085-086 Nhạc Sơn</v>
          </cell>
          <cell r="D192" t="str">
            <v>T. Lào Cai</v>
          </cell>
          <cell r="E192" t="str">
            <v>TP. Lào Cai</v>
          </cell>
          <cell r="F192">
            <v>191</v>
          </cell>
          <cell r="H192" t="str">
            <v>WMP</v>
          </cell>
          <cell r="I192" t="str">
            <v>VTCO</v>
          </cell>
        </row>
        <row r="193">
          <cell r="B193" t="str">
            <v>6320</v>
          </cell>
          <cell r="C193" t="str">
            <v>WM+ LCI 088 Nhạc Sơn</v>
          </cell>
          <cell r="D193" t="str">
            <v>T. Lào Cai</v>
          </cell>
          <cell r="E193" t="str">
            <v>TP. Lào Cai</v>
          </cell>
          <cell r="F193">
            <v>192</v>
          </cell>
          <cell r="H193" t="str">
            <v>WMP</v>
          </cell>
          <cell r="I193" t="str">
            <v>VTCO</v>
          </cell>
        </row>
        <row r="194">
          <cell r="B194" t="str">
            <v>5382</v>
          </cell>
          <cell r="C194" t="str">
            <v>WM+ LCI 030 Quy Hóa</v>
          </cell>
          <cell r="D194" t="str">
            <v>T. Lào Cai</v>
          </cell>
          <cell r="E194" t="str">
            <v>TP. Lào Cai</v>
          </cell>
          <cell r="F194">
            <v>193</v>
          </cell>
          <cell r="H194" t="str">
            <v>WMP</v>
          </cell>
          <cell r="I194" t="str">
            <v>VTCO</v>
          </cell>
        </row>
        <row r="195">
          <cell r="B195" t="str">
            <v>5001</v>
          </cell>
          <cell r="C195" t="str">
            <v>WM+ LCI Số 489 Ngô Quyền</v>
          </cell>
          <cell r="D195" t="str">
            <v>T. Lào Cai</v>
          </cell>
          <cell r="E195" t="str">
            <v>TP. Lào Cai</v>
          </cell>
          <cell r="F195">
            <v>194</v>
          </cell>
          <cell r="H195" t="str">
            <v>WMP</v>
          </cell>
          <cell r="I195" t="str">
            <v>VTCO</v>
          </cell>
        </row>
        <row r="196">
          <cell r="B196" t="str">
            <v>5381</v>
          </cell>
          <cell r="C196" t="str">
            <v>WM+ LCI 114 Hàm Nghi</v>
          </cell>
          <cell r="D196" t="str">
            <v>T. Lào Cai</v>
          </cell>
          <cell r="E196" t="str">
            <v>TP. Lào Cai</v>
          </cell>
          <cell r="F196">
            <v>195</v>
          </cell>
          <cell r="H196" t="str">
            <v>WMP</v>
          </cell>
          <cell r="I196" t="str">
            <v>VTCO</v>
          </cell>
        </row>
        <row r="197">
          <cell r="B197" t="str">
            <v>2AEW</v>
          </cell>
          <cell r="C197" t="str">
            <v>WM+ LCI Số 145 - 147 Nguyễn Huệ</v>
          </cell>
          <cell r="D197" t="str">
            <v>T. Lào Cai</v>
          </cell>
          <cell r="E197" t="str">
            <v>TP. Lào Cai</v>
          </cell>
          <cell r="F197">
            <v>196</v>
          </cell>
          <cell r="H197" t="str">
            <v>WMP</v>
          </cell>
          <cell r="I197" t="str">
            <v>VTCO</v>
          </cell>
        </row>
        <row r="198">
          <cell r="B198" t="str">
            <v>4965</v>
          </cell>
          <cell r="C198" t="str">
            <v>WM+ LCI 02-04 Võ Nguyên Giáp</v>
          </cell>
          <cell r="D198" t="str">
            <v>T. Lào Cai</v>
          </cell>
          <cell r="E198" t="str">
            <v>TP. Lào Cai</v>
          </cell>
          <cell r="F198">
            <v>197</v>
          </cell>
          <cell r="H198" t="str">
            <v>WMP</v>
          </cell>
          <cell r="I198" t="str">
            <v>VTCO</v>
          </cell>
        </row>
        <row r="199">
          <cell r="B199" t="str">
            <v>5057</v>
          </cell>
          <cell r="C199" t="str">
            <v>WM+ LCI 737 Lê Thanh</v>
          </cell>
          <cell r="D199" t="str">
            <v>T. Lào Cai</v>
          </cell>
          <cell r="E199" t="str">
            <v>TP. Lào Cai</v>
          </cell>
          <cell r="F199">
            <v>198</v>
          </cell>
          <cell r="H199" t="str">
            <v>WMP</v>
          </cell>
          <cell r="I199" t="str">
            <v>VTCO</v>
          </cell>
        </row>
        <row r="200">
          <cell r="B200" t="str">
            <v>5778</v>
          </cell>
          <cell r="C200" t="str">
            <v>WM+ LCI 750 Hoàng Quốc Việt</v>
          </cell>
          <cell r="D200" t="str">
            <v>T. Lào Cai</v>
          </cell>
          <cell r="E200" t="str">
            <v>TP. Lào Cai</v>
          </cell>
          <cell r="F200">
            <v>199</v>
          </cell>
          <cell r="H200" t="str">
            <v>WMP</v>
          </cell>
          <cell r="I200" t="str">
            <v>VTCO</v>
          </cell>
        </row>
        <row r="201">
          <cell r="B201" t="str">
            <v>2ABP</v>
          </cell>
          <cell r="C201" t="str">
            <v>WM+ LCI 028 Lương Định Của</v>
          </cell>
          <cell r="D201" t="str">
            <v>T. Lào Cai</v>
          </cell>
          <cell r="E201" t="str">
            <v>TX. Sapa</v>
          </cell>
          <cell r="F201">
            <v>200</v>
          </cell>
          <cell r="H201" t="str">
            <v>WMP</v>
          </cell>
          <cell r="I201" t="str">
            <v>VTCO</v>
          </cell>
        </row>
        <row r="202">
          <cell r="B202" t="str">
            <v>2BQ5</v>
          </cell>
          <cell r="C202" t="str">
            <v>WM+ TQG 118 Trần Hưng Đạo</v>
          </cell>
          <cell r="D202" t="str">
            <v>T. Hà Giang</v>
          </cell>
          <cell r="E202" t="str">
            <v>H. Yên Minh</v>
          </cell>
          <cell r="F202">
            <v>201</v>
          </cell>
          <cell r="H202" t="str">
            <v>WMP</v>
          </cell>
          <cell r="I202" t="str">
            <v>SAFEFAST</v>
          </cell>
        </row>
        <row r="203">
          <cell r="B203" t="str">
            <v>2ADU</v>
          </cell>
          <cell r="C203" t="str">
            <v>WM+ HGG Nguyễn Du, Mèo Vạc</v>
          </cell>
          <cell r="D203" t="str">
            <v>T. Hà Giang</v>
          </cell>
          <cell r="E203" t="str">
            <v>H. Mèo Vạc</v>
          </cell>
          <cell r="F203">
            <v>202</v>
          </cell>
          <cell r="H203" t="str">
            <v>WMP</v>
          </cell>
          <cell r="I203" t="str">
            <v>SAFEFAST</v>
          </cell>
        </row>
        <row r="204">
          <cell r="B204" t="str">
            <v>2CMH</v>
          </cell>
          <cell r="C204" t="str">
            <v>WM+HGG Nguyễn Du, Mèo Vạc</v>
          </cell>
          <cell r="D204" t="str">
            <v>T. Hà Giang</v>
          </cell>
          <cell r="E204" t="str">
            <v>H. Mèo Vạc</v>
          </cell>
          <cell r="F204">
            <v>203</v>
          </cell>
          <cell r="H204" t="str">
            <v>WMP</v>
          </cell>
          <cell r="I204" t="str">
            <v>SAFEFAST</v>
          </cell>
        </row>
        <row r="205">
          <cell r="B205" t="str">
            <v>2AJD</v>
          </cell>
          <cell r="C205" t="str">
            <v>WM+ HGG Chợ Bắc Mê</v>
          </cell>
          <cell r="D205" t="str">
            <v>T. Hà Giang</v>
          </cell>
          <cell r="E205" t="str">
            <v>H. Bắc Mê</v>
          </cell>
          <cell r="F205">
            <v>204</v>
          </cell>
          <cell r="H205" t="str">
            <v>WMP</v>
          </cell>
          <cell r="I205" t="str">
            <v>SAFEFAST</v>
          </cell>
        </row>
        <row r="206">
          <cell r="B206" t="str">
            <v>5133</v>
          </cell>
          <cell r="C206" t="str">
            <v>WM+ HGG Số 288 Trần Phú</v>
          </cell>
          <cell r="D206" t="str">
            <v>T. Hà Giang</v>
          </cell>
          <cell r="E206" t="str">
            <v>TP. Hà Giang</v>
          </cell>
          <cell r="F206">
            <v>205</v>
          </cell>
          <cell r="H206" t="str">
            <v>WMP</v>
          </cell>
          <cell r="I206" t="str">
            <v>SAFEFAST</v>
          </cell>
        </row>
        <row r="207">
          <cell r="B207" t="str">
            <v>5701</v>
          </cell>
          <cell r="C207" t="str">
            <v>WM+ HGG 395 Nguyễn Thái Học</v>
          </cell>
          <cell r="D207" t="str">
            <v>T. Hà Giang</v>
          </cell>
          <cell r="E207" t="str">
            <v>TP. Hà Giang</v>
          </cell>
          <cell r="F207">
            <v>206</v>
          </cell>
          <cell r="H207" t="str">
            <v>WMP</v>
          </cell>
          <cell r="I207" t="str">
            <v>SAFEFAST</v>
          </cell>
        </row>
        <row r="208">
          <cell r="B208" t="str">
            <v>5223</v>
          </cell>
          <cell r="C208" t="str">
            <v>WM+ HGG 35 An Cư</v>
          </cell>
          <cell r="D208" t="str">
            <v>T. Hà Giang</v>
          </cell>
          <cell r="E208" t="str">
            <v>TP. Hà Giang</v>
          </cell>
          <cell r="F208">
            <v>207</v>
          </cell>
          <cell r="H208" t="str">
            <v>WMP</v>
          </cell>
          <cell r="I208" t="str">
            <v>SAFEFAST</v>
          </cell>
        </row>
        <row r="209">
          <cell r="B209" t="str">
            <v>5946</v>
          </cell>
          <cell r="C209" t="str">
            <v>WM+ HGG 02 Kim Đồng</v>
          </cell>
          <cell r="D209" t="str">
            <v>T. Hà Giang</v>
          </cell>
          <cell r="E209" t="str">
            <v>TP. Hà Giang</v>
          </cell>
          <cell r="F209">
            <v>208</v>
          </cell>
          <cell r="H209" t="str">
            <v>WMP</v>
          </cell>
          <cell r="I209" t="str">
            <v>SAFEFAST</v>
          </cell>
        </row>
        <row r="210">
          <cell r="B210" t="str">
            <v>5206</v>
          </cell>
          <cell r="C210" t="str">
            <v>WM+ HGG 50 Trần Phú</v>
          </cell>
          <cell r="D210" t="str">
            <v>T. Hà Giang</v>
          </cell>
          <cell r="E210" t="str">
            <v>TP. Hà Giang</v>
          </cell>
          <cell r="F210">
            <v>209</v>
          </cell>
          <cell r="H210" t="str">
            <v>WMP</v>
          </cell>
          <cell r="I210" t="str">
            <v>SAFEFAST</v>
          </cell>
        </row>
        <row r="211">
          <cell r="B211" t="str">
            <v>5205</v>
          </cell>
          <cell r="C211" t="str">
            <v>WM+ HGG 89 Nguyễn Thái Học</v>
          </cell>
          <cell r="D211" t="str">
            <v>T. Hà Giang</v>
          </cell>
          <cell r="E211" t="str">
            <v>TP. Hà Giang</v>
          </cell>
          <cell r="F211">
            <v>210</v>
          </cell>
          <cell r="H211" t="str">
            <v>WMP</v>
          </cell>
          <cell r="I211" t="str">
            <v>SAFEFAST</v>
          </cell>
        </row>
        <row r="212">
          <cell r="B212" t="str">
            <v>5688</v>
          </cell>
          <cell r="C212" t="str">
            <v>WM+ HGG 504 Lý Thường Kiệt</v>
          </cell>
          <cell r="D212" t="str">
            <v>T. Hà Giang</v>
          </cell>
          <cell r="E212" t="str">
            <v>TP. Hà Giang</v>
          </cell>
          <cell r="F212">
            <v>211</v>
          </cell>
          <cell r="H212" t="str">
            <v>WMP</v>
          </cell>
          <cell r="I212" t="str">
            <v>SAFEFAST</v>
          </cell>
        </row>
        <row r="213">
          <cell r="B213" t="str">
            <v>5134</v>
          </cell>
          <cell r="C213" t="str">
            <v>WM+ HGG Số 65 Nguyễn Văn Linh</v>
          </cell>
          <cell r="D213" t="str">
            <v>T. Hà Giang</v>
          </cell>
          <cell r="E213" t="str">
            <v>TP. Hà Giang</v>
          </cell>
          <cell r="F213">
            <v>212</v>
          </cell>
          <cell r="H213" t="str">
            <v>WMP</v>
          </cell>
          <cell r="I213" t="str">
            <v>SAFEFAST</v>
          </cell>
        </row>
        <row r="214">
          <cell r="B214" t="str">
            <v>5471</v>
          </cell>
          <cell r="C214" t="str">
            <v>WM+ HGG 43-45 Đường 20-8</v>
          </cell>
          <cell r="D214" t="str">
            <v>T. Hà Giang</v>
          </cell>
          <cell r="E214" t="str">
            <v>TP. Hà Giang</v>
          </cell>
          <cell r="F214">
            <v>213</v>
          </cell>
          <cell r="H214" t="str">
            <v>WMP</v>
          </cell>
          <cell r="I214" t="str">
            <v>SAFEFAST</v>
          </cell>
        </row>
        <row r="215">
          <cell r="B215" t="str">
            <v>5188</v>
          </cell>
          <cell r="C215" t="str">
            <v>WM+ HGG 469 Nguyễn Trãi</v>
          </cell>
          <cell r="D215" t="str">
            <v>T. Hà Giang</v>
          </cell>
          <cell r="E215" t="str">
            <v>TP. Hà Giang</v>
          </cell>
          <cell r="F215">
            <v>214</v>
          </cell>
          <cell r="H215" t="str">
            <v>WMP</v>
          </cell>
          <cell r="I215" t="str">
            <v>SAFEFAST</v>
          </cell>
        </row>
        <row r="216">
          <cell r="B216" t="str">
            <v>5371</v>
          </cell>
          <cell r="C216" t="str">
            <v>WM+ HGG 178 Đường Nguyễn Trãi</v>
          </cell>
          <cell r="D216" t="str">
            <v>T. Hà Giang</v>
          </cell>
          <cell r="E216" t="str">
            <v>TP. Hà Giang</v>
          </cell>
          <cell r="F216">
            <v>215</v>
          </cell>
          <cell r="H216" t="str">
            <v>WMP</v>
          </cell>
          <cell r="I216" t="str">
            <v>SAFEFAST</v>
          </cell>
        </row>
        <row r="217">
          <cell r="B217" t="str">
            <v>5754</v>
          </cell>
          <cell r="C217" t="str">
            <v>WM+ HGG Tổ 1 Đường Nguyễn Trãi, TT Vị Xuyên</v>
          </cell>
          <cell r="D217" t="str">
            <v>T. Hà Giang</v>
          </cell>
          <cell r="E217" t="str">
            <v>H. Vị Xuyên</v>
          </cell>
          <cell r="F217">
            <v>216</v>
          </cell>
          <cell r="H217" t="str">
            <v>WMP</v>
          </cell>
          <cell r="I217" t="str">
            <v>SAFEFAST</v>
          </cell>
        </row>
        <row r="218">
          <cell r="B218" t="str">
            <v>5828</v>
          </cell>
          <cell r="C218" t="str">
            <v>WM+ HGG Tổ 8 Vị Xuyên</v>
          </cell>
          <cell r="D218" t="str">
            <v>T. Hà Giang</v>
          </cell>
          <cell r="E218" t="str">
            <v>H. Vị Xuyên</v>
          </cell>
          <cell r="F218">
            <v>217</v>
          </cell>
          <cell r="H218" t="str">
            <v>WMP</v>
          </cell>
          <cell r="I218" t="str">
            <v>SAFEFAST</v>
          </cell>
        </row>
        <row r="219">
          <cell r="B219" t="str">
            <v>2ABX</v>
          </cell>
          <cell r="C219" t="str">
            <v>WM+ HGG Tổ 6 Việt Lâm</v>
          </cell>
          <cell r="D219" t="str">
            <v>T. Hà Giang</v>
          </cell>
          <cell r="E219" t="str">
            <v>H. Vị Xuyên</v>
          </cell>
          <cell r="F219">
            <v>218</v>
          </cell>
          <cell r="H219" t="str">
            <v>WMP</v>
          </cell>
          <cell r="I219" t="str">
            <v>SAFEFAST</v>
          </cell>
        </row>
        <row r="220">
          <cell r="B220" t="str">
            <v>2ADE</v>
          </cell>
          <cell r="C220" t="str">
            <v>WM+ HGG Thôn Vạt, Việt Lâm</v>
          </cell>
          <cell r="D220" t="str">
            <v>T. Hà Giang</v>
          </cell>
          <cell r="E220" t="str">
            <v>H. Vị Xuyên</v>
          </cell>
          <cell r="F220">
            <v>219</v>
          </cell>
          <cell r="H220" t="str">
            <v>WMP</v>
          </cell>
          <cell r="I220" t="str">
            <v>SAFEFAST</v>
          </cell>
        </row>
        <row r="221">
          <cell r="B221" t="str">
            <v>6864</v>
          </cell>
          <cell r="C221" t="str">
            <v>WM+ HGG Vinh Quang, Bắc Quang</v>
          </cell>
          <cell r="D221" t="str">
            <v>T. Hà Giang</v>
          </cell>
          <cell r="E221" t="str">
            <v>H. Bắc Quang</v>
          </cell>
          <cell r="F221">
            <v>220</v>
          </cell>
          <cell r="H221" t="str">
            <v>WMP</v>
          </cell>
          <cell r="I221" t="str">
            <v>SAFEFAST</v>
          </cell>
        </row>
        <row r="222">
          <cell r="B222" t="str">
            <v>5735</v>
          </cell>
          <cell r="C222" t="str">
            <v>WM+ HGG 159 Trường Chinh, Bắc Quang</v>
          </cell>
          <cell r="D222" t="str">
            <v>T. Hà Giang</v>
          </cell>
          <cell r="E222" t="str">
            <v>H. Bắc Quang</v>
          </cell>
          <cell r="F222">
            <v>221</v>
          </cell>
          <cell r="H222" t="str">
            <v>WMP</v>
          </cell>
          <cell r="I222" t="str">
            <v>SAFEFAST</v>
          </cell>
        </row>
        <row r="223">
          <cell r="B223" t="str">
            <v>6237</v>
          </cell>
          <cell r="C223" t="str">
            <v>WM+ HGG 16B Tổ 12 TT Việt Quang</v>
          </cell>
          <cell r="D223" t="str">
            <v>T. Hà Giang</v>
          </cell>
          <cell r="E223" t="str">
            <v>H. Bắc Quang</v>
          </cell>
          <cell r="F223">
            <v>222</v>
          </cell>
          <cell r="H223" t="str">
            <v>WMP</v>
          </cell>
          <cell r="I223" t="str">
            <v>SAFEFAST</v>
          </cell>
        </row>
        <row r="224">
          <cell r="B224" t="str">
            <v>2BEH</v>
          </cell>
          <cell r="C224" t="str">
            <v>WM+ TQG Thôn 4, Bắc Quang</v>
          </cell>
          <cell r="D224" t="str">
            <v>T. Hà Giang</v>
          </cell>
          <cell r="E224" t="str">
            <v>H. Bắc Quang</v>
          </cell>
          <cell r="F224">
            <v>223</v>
          </cell>
          <cell r="H224" t="str">
            <v>WMP</v>
          </cell>
          <cell r="I224" t="str">
            <v>SAFEFAST</v>
          </cell>
        </row>
        <row r="225">
          <cell r="B225" t="str">
            <v>5708</v>
          </cell>
          <cell r="C225" t="str">
            <v>WM+ HGG 857A Trường Chinh, Bắc Quang</v>
          </cell>
          <cell r="D225" t="str">
            <v>T. Hà Giang</v>
          </cell>
          <cell r="E225" t="str">
            <v>H. Bắc Quang</v>
          </cell>
          <cell r="F225">
            <v>224</v>
          </cell>
          <cell r="H225" t="str">
            <v>WMP</v>
          </cell>
          <cell r="I225" t="str">
            <v>SAFEFAST</v>
          </cell>
        </row>
        <row r="226">
          <cell r="B226" t="str">
            <v>5829</v>
          </cell>
          <cell r="C226" t="str">
            <v>WM+ HGG 1157 Trường Chinh</v>
          </cell>
          <cell r="D226" t="str">
            <v>T. Hà Giang</v>
          </cell>
          <cell r="E226" t="str">
            <v>H. Bắc Quang</v>
          </cell>
          <cell r="F226">
            <v>225</v>
          </cell>
          <cell r="H226" t="str">
            <v>WMP</v>
          </cell>
          <cell r="I226" t="str">
            <v>SAFEFAST</v>
          </cell>
        </row>
        <row r="227">
          <cell r="B227" t="str">
            <v>2BKH</v>
          </cell>
          <cell r="C227" t="str">
            <v>WM+ TQG An Tiến, Hùng An</v>
          </cell>
          <cell r="D227" t="str">
            <v>T. Hà Giang</v>
          </cell>
          <cell r="E227" t="str">
            <v>H. Bắc Quang</v>
          </cell>
          <cell r="F227">
            <v>226</v>
          </cell>
          <cell r="H227" t="str">
            <v>WMP</v>
          </cell>
          <cell r="I227" t="str">
            <v>SAFEFAST</v>
          </cell>
        </row>
        <row r="228">
          <cell r="B228" t="str">
            <v>2CFP</v>
          </cell>
          <cell r="C228" t="str">
            <v>WM+ TQG 225 Phố Mới, Vĩnh Tuy</v>
          </cell>
          <cell r="D228" t="str">
            <v>T. Hà Giang</v>
          </cell>
          <cell r="E228" t="str">
            <v>H. Bắc Quang</v>
          </cell>
          <cell r="F228">
            <v>227</v>
          </cell>
          <cell r="H228" t="str">
            <v>WMP</v>
          </cell>
          <cell r="I228" t="str">
            <v>SAFEFAST</v>
          </cell>
        </row>
        <row r="229">
          <cell r="B229" t="str">
            <v>2ANC</v>
          </cell>
          <cell r="C229" t="str">
            <v>WM+ PTO Khu 21, Vạn Xuân</v>
          </cell>
          <cell r="D229" t="str">
            <v>T. Phú Thọ</v>
          </cell>
          <cell r="E229" t="str">
            <v>H. Tam Nông</v>
          </cell>
          <cell r="F229">
            <v>228</v>
          </cell>
          <cell r="H229" t="str">
            <v>WMP</v>
          </cell>
          <cell r="I229" t="str">
            <v>GHN</v>
          </cell>
        </row>
        <row r="230">
          <cell r="B230" t="str">
            <v>5891</v>
          </cell>
          <cell r="C230" t="str">
            <v>WM+ PTO Khu 23 Vạn Xuân</v>
          </cell>
          <cell r="D230" t="str">
            <v>T. Phú Thọ</v>
          </cell>
          <cell r="E230" t="str">
            <v>H. Tam Nông</v>
          </cell>
          <cell r="F230">
            <v>229</v>
          </cell>
          <cell r="H230" t="str">
            <v>WMP</v>
          </cell>
          <cell r="I230" t="str">
            <v>GHN</v>
          </cell>
        </row>
        <row r="231">
          <cell r="B231" t="str">
            <v>6871</v>
          </cell>
          <cell r="C231" t="str">
            <v>WM+ PTO TT Hưng Hóa, Tam Nông</v>
          </cell>
          <cell r="D231" t="str">
            <v>T. Phú Thọ</v>
          </cell>
          <cell r="E231" t="str">
            <v>H. Tam Nông</v>
          </cell>
          <cell r="F231">
            <v>230</v>
          </cell>
          <cell r="H231" t="str">
            <v>WMP</v>
          </cell>
          <cell r="I231" t="str">
            <v>GHN</v>
          </cell>
        </row>
        <row r="232">
          <cell r="B232" t="str">
            <v>2BVB</v>
          </cell>
          <cell r="C232" t="str">
            <v>WM+ PTO Khu 9, Tam Nông</v>
          </cell>
          <cell r="D232" t="str">
            <v>T. Phú Thọ</v>
          </cell>
          <cell r="E232" t="str">
            <v>H. Tam Nông</v>
          </cell>
          <cell r="F232">
            <v>231</v>
          </cell>
          <cell r="H232" t="str">
            <v>WMP</v>
          </cell>
          <cell r="I232" t="str">
            <v>GHN</v>
          </cell>
        </row>
        <row r="233">
          <cell r="B233" t="str">
            <v>2AFF</v>
          </cell>
          <cell r="C233" t="str">
            <v>WM+ PTO Khu 5, Xuân Lộc</v>
          </cell>
          <cell r="D233" t="str">
            <v>T. Phú Thọ</v>
          </cell>
          <cell r="E233" t="str">
            <v>H. Thanh Thủy</v>
          </cell>
          <cell r="F233">
            <v>232</v>
          </cell>
          <cell r="H233" t="str">
            <v>WMP</v>
          </cell>
          <cell r="I233" t="str">
            <v>GHN</v>
          </cell>
        </row>
        <row r="234">
          <cell r="B234" t="str">
            <v>2AIU</v>
          </cell>
          <cell r="C234" t="str">
            <v>WM+ PTO Khu 14, Đào Xá</v>
          </cell>
          <cell r="D234" t="str">
            <v>T. Phú Thọ</v>
          </cell>
          <cell r="E234" t="str">
            <v>H. Thanh Thủy</v>
          </cell>
          <cell r="F234">
            <v>233</v>
          </cell>
          <cell r="H234" t="str">
            <v>WMP</v>
          </cell>
          <cell r="I234" t="str">
            <v>GHN</v>
          </cell>
        </row>
        <row r="235">
          <cell r="B235" t="str">
            <v>2APX</v>
          </cell>
          <cell r="C235" t="str">
            <v>WM+ PTO Khu Phố, TT Thanh Thủy</v>
          </cell>
          <cell r="D235" t="str">
            <v>T. Phú Thọ</v>
          </cell>
          <cell r="E235" t="str">
            <v>H. Thanh Thủy</v>
          </cell>
          <cell r="F235">
            <v>234</v>
          </cell>
          <cell r="H235" t="str">
            <v>WMP</v>
          </cell>
          <cell r="I235" t="str">
            <v>GHN</v>
          </cell>
        </row>
        <row r="236">
          <cell r="B236" t="str">
            <v>2ALI</v>
          </cell>
          <cell r="C236" t="str">
            <v>WM+ PTO Khu 1, Bảo Yên</v>
          </cell>
          <cell r="D236" t="str">
            <v>T. Phú Thọ</v>
          </cell>
          <cell r="E236" t="str">
            <v>H. Thanh Thủy</v>
          </cell>
          <cell r="F236">
            <v>235</v>
          </cell>
          <cell r="H236" t="str">
            <v>WMP</v>
          </cell>
          <cell r="I236" t="str">
            <v>GHN</v>
          </cell>
        </row>
        <row r="237">
          <cell r="B237" t="str">
            <v>2BO6</v>
          </cell>
          <cell r="C237" t="str">
            <v>WM+ PTO Khu 11, Tu Vũ</v>
          </cell>
          <cell r="D237" t="str">
            <v>T. Phú Thọ</v>
          </cell>
          <cell r="E237" t="str">
            <v>H. Thanh Thủy</v>
          </cell>
          <cell r="F237">
            <v>236</v>
          </cell>
          <cell r="H237" t="str">
            <v>WMP</v>
          </cell>
          <cell r="I237" t="str">
            <v>GHN</v>
          </cell>
        </row>
        <row r="238">
          <cell r="B238" t="str">
            <v>2BWV</v>
          </cell>
          <cell r="C238" t="str">
            <v>WM+ PTO Khu 2, Tu Vũ</v>
          </cell>
          <cell r="D238" t="str">
            <v>T. Phú Thọ</v>
          </cell>
          <cell r="E238" t="str">
            <v>H. Thanh Thủy</v>
          </cell>
          <cell r="F238">
            <v>237</v>
          </cell>
          <cell r="H238" t="str">
            <v>WMP</v>
          </cell>
          <cell r="I238" t="str">
            <v>GHN</v>
          </cell>
        </row>
        <row r="239">
          <cell r="B239" t="str">
            <v>2AKU</v>
          </cell>
          <cell r="C239" t="str">
            <v>WM+ PTO Khu 4, Đoan Hạ</v>
          </cell>
          <cell r="D239" t="str">
            <v>T. Phú Thọ</v>
          </cell>
          <cell r="E239" t="str">
            <v>H. Thanh Thủy</v>
          </cell>
          <cell r="F239">
            <v>238</v>
          </cell>
          <cell r="H239" t="str">
            <v>WMP</v>
          </cell>
          <cell r="I239" t="str">
            <v>GHN</v>
          </cell>
        </row>
        <row r="240">
          <cell r="B240" t="str">
            <v>6178</v>
          </cell>
          <cell r="C240" t="str">
            <v>WM+ PTO Khu 22 Hoàng Xá</v>
          </cell>
          <cell r="D240" t="str">
            <v>T. Phú Thọ</v>
          </cell>
          <cell r="E240" t="str">
            <v>H. Thanh Thủy</v>
          </cell>
          <cell r="F240">
            <v>239</v>
          </cell>
          <cell r="H240" t="str">
            <v>WMP</v>
          </cell>
          <cell r="I240" t="str">
            <v>GHN</v>
          </cell>
        </row>
        <row r="241">
          <cell r="B241" t="str">
            <v>2BY6</v>
          </cell>
          <cell r="C241" t="str">
            <v>WM+ PTO Khu 3, Thanh Thủy</v>
          </cell>
          <cell r="D241" t="str">
            <v>T. Phú Thọ</v>
          </cell>
          <cell r="E241" t="str">
            <v>H. Thanh Thủy</v>
          </cell>
          <cell r="F241">
            <v>240</v>
          </cell>
          <cell r="H241" t="str">
            <v>WMP</v>
          </cell>
          <cell r="I241" t="str">
            <v>GHN</v>
          </cell>
        </row>
        <row r="242">
          <cell r="B242" t="str">
            <v>2BU7</v>
          </cell>
          <cell r="C242" t="str">
            <v>WM+ PTO Quyết Tiến, Cự Đồng</v>
          </cell>
          <cell r="D242" t="str">
            <v>T. Phú Thọ</v>
          </cell>
          <cell r="E242" t="str">
            <v>H. Thanh Thủy</v>
          </cell>
          <cell r="F242">
            <v>241</v>
          </cell>
          <cell r="H242" t="str">
            <v>WMP</v>
          </cell>
          <cell r="I242" t="str">
            <v>GHN</v>
          </cell>
        </row>
        <row r="243">
          <cell r="B243" t="str">
            <v>2ALC</v>
          </cell>
          <cell r="C243" t="str">
            <v>WM+ PTO Tân Hương, Hương Cần</v>
          </cell>
          <cell r="D243" t="str">
            <v>T. Phú Thọ</v>
          </cell>
          <cell r="E243" t="str">
            <v>H. Thanh Thủy</v>
          </cell>
          <cell r="F243">
            <v>242</v>
          </cell>
          <cell r="H243" t="str">
            <v>WMP</v>
          </cell>
          <cell r="I243" t="str">
            <v>GHN</v>
          </cell>
        </row>
        <row r="244">
          <cell r="B244" t="str">
            <v>2BDE</v>
          </cell>
          <cell r="C244" t="str">
            <v>WM+ PTO Đề Ngữ, Yên Sơn</v>
          </cell>
          <cell r="D244" t="str">
            <v>T. Phú Thọ</v>
          </cell>
          <cell r="E244" t="str">
            <v>H. Thanh Sơn</v>
          </cell>
          <cell r="F244">
            <v>243</v>
          </cell>
          <cell r="H244" t="str">
            <v>WMP</v>
          </cell>
          <cell r="I244" t="str">
            <v>GHN</v>
          </cell>
        </row>
        <row r="245">
          <cell r="B245" t="str">
            <v>2ASC</v>
          </cell>
          <cell r="C245" t="str">
            <v>WM+ PTO Xóm Dẹ 1, Văn Miếu</v>
          </cell>
          <cell r="D245" t="str">
            <v>T. Phú Thọ</v>
          </cell>
          <cell r="E245" t="str">
            <v>H. Thanh Sơn</v>
          </cell>
          <cell r="F245">
            <v>244</v>
          </cell>
          <cell r="H245" t="str">
            <v>WMP</v>
          </cell>
          <cell r="I245" t="str">
            <v>GHN</v>
          </cell>
        </row>
        <row r="246">
          <cell r="B246" t="str">
            <v>2BHV</v>
          </cell>
          <cell r="C246" t="str">
            <v>WM+ PTO Đống Cả, Xuân Đài</v>
          </cell>
          <cell r="D246" t="str">
            <v>T. Phú Thọ</v>
          </cell>
          <cell r="E246" t="str">
            <v>H. Thanh Sơn</v>
          </cell>
          <cell r="F246">
            <v>245</v>
          </cell>
          <cell r="H246" t="str">
            <v>WMP</v>
          </cell>
          <cell r="I246" t="str">
            <v>GHN</v>
          </cell>
        </row>
        <row r="247">
          <cell r="B247" t="str">
            <v>2AMP</v>
          </cell>
          <cell r="C247" t="str">
            <v>WM+ PTO 28 Phố Vàng</v>
          </cell>
          <cell r="D247" t="str">
            <v>T. Phú Thọ</v>
          </cell>
          <cell r="E247" t="str">
            <v>H. Thanh Sơn</v>
          </cell>
          <cell r="F247">
            <v>246</v>
          </cell>
          <cell r="H247" t="str">
            <v>WMP</v>
          </cell>
          <cell r="I247" t="str">
            <v>GHN</v>
          </cell>
        </row>
        <row r="248">
          <cell r="B248" t="str">
            <v>6240</v>
          </cell>
          <cell r="C248" t="str">
            <v>WM+ PTO Hùng Nhĩ, Thanh Sơn</v>
          </cell>
          <cell r="D248" t="str">
            <v>T. Phú Thọ</v>
          </cell>
          <cell r="E248" t="str">
            <v>H. Thanh Sơn</v>
          </cell>
          <cell r="F248">
            <v>247</v>
          </cell>
          <cell r="H248" t="str">
            <v>WMP</v>
          </cell>
          <cell r="I248" t="str">
            <v>GHN</v>
          </cell>
        </row>
        <row r="249">
          <cell r="B249" t="str">
            <v>6090</v>
          </cell>
          <cell r="C249" t="str">
            <v>WM+ PTO 191B Ba Mỏ</v>
          </cell>
          <cell r="D249" t="str">
            <v>T. Phú Thọ</v>
          </cell>
          <cell r="E249" t="str">
            <v>H. Thanh Sơn</v>
          </cell>
          <cell r="F249">
            <v>248</v>
          </cell>
          <cell r="H249" t="str">
            <v>WMP</v>
          </cell>
          <cell r="I249" t="str">
            <v>GHN</v>
          </cell>
        </row>
        <row r="250">
          <cell r="B250" t="str">
            <v>2BW1</v>
          </cell>
          <cell r="C250" t="str">
            <v>WM+ PTO Khu 13, Minh Hòa</v>
          </cell>
          <cell r="D250" t="str">
            <v>T. Phú Thọ</v>
          </cell>
          <cell r="E250" t="str">
            <v>H. Yên Lập</v>
          </cell>
          <cell r="F250">
            <v>249</v>
          </cell>
          <cell r="H250" t="str">
            <v>WMP</v>
          </cell>
          <cell r="I250" t="str">
            <v>VIETTEL</v>
          </cell>
        </row>
        <row r="251">
          <cell r="B251" t="str">
            <v>2B73</v>
          </cell>
          <cell r="C251" t="str">
            <v>WM+ PTO Đồng Ve, Sơn Lương</v>
          </cell>
          <cell r="D251" t="str">
            <v>T. Phú Thọ</v>
          </cell>
          <cell r="E251" t="str">
            <v>H. Yên Lập</v>
          </cell>
          <cell r="F251">
            <v>250</v>
          </cell>
          <cell r="H251" t="str">
            <v>WMP</v>
          </cell>
          <cell r="I251" t="str">
            <v>VIETTEL</v>
          </cell>
        </row>
        <row r="252">
          <cell r="B252" t="str">
            <v>2AQB</v>
          </cell>
          <cell r="C252" t="str">
            <v>WM+ PTO Khu Trung Tâm, Lương Sơn</v>
          </cell>
          <cell r="D252" t="str">
            <v>T. Phú Thọ</v>
          </cell>
          <cell r="E252" t="str">
            <v>H. Yên Lập</v>
          </cell>
          <cell r="F252">
            <v>251</v>
          </cell>
          <cell r="H252" t="str">
            <v>WMP</v>
          </cell>
          <cell r="I252" t="str">
            <v>VIETTEL</v>
          </cell>
        </row>
        <row r="253">
          <cell r="B253" t="str">
            <v>6364</v>
          </cell>
          <cell r="C253" t="str">
            <v>WM+ PTO Tân An 4, Yên Lập</v>
          </cell>
          <cell r="D253" t="str">
            <v>T. Phú Thọ</v>
          </cell>
          <cell r="E253" t="str">
            <v>H. Yên Lập</v>
          </cell>
          <cell r="F253">
            <v>252</v>
          </cell>
          <cell r="H253" t="str">
            <v>WMP</v>
          </cell>
          <cell r="I253" t="str">
            <v>VIETTEL</v>
          </cell>
        </row>
        <row r="254">
          <cell r="B254" t="str">
            <v>2BBN</v>
          </cell>
          <cell r="C254" t="str">
            <v>WM+ PTO Giáp Xuân, Phú Khê</v>
          </cell>
          <cell r="D254" t="str">
            <v>T. Phú Thọ</v>
          </cell>
          <cell r="E254" t="str">
            <v>H. Cẩm Khê</v>
          </cell>
          <cell r="F254">
            <v>253</v>
          </cell>
          <cell r="H254" t="str">
            <v>WMP</v>
          </cell>
          <cell r="I254" t="str">
            <v>VIETTEL</v>
          </cell>
        </row>
        <row r="255">
          <cell r="B255" t="str">
            <v>2CGH</v>
          </cell>
          <cell r="C255" t="str">
            <v>WM+ PTO Khu Suông 2, Phú Khê</v>
          </cell>
          <cell r="D255" t="str">
            <v>T. Phú Thọ</v>
          </cell>
          <cell r="E255" t="str">
            <v>H. Cẩm Khê</v>
          </cell>
          <cell r="F255">
            <v>254</v>
          </cell>
          <cell r="H255" t="str">
            <v>WMP</v>
          </cell>
          <cell r="I255" t="str">
            <v>VIETTEL</v>
          </cell>
        </row>
        <row r="256">
          <cell r="B256" t="str">
            <v>2BTL</v>
          </cell>
          <cell r="C256" t="str">
            <v>WM+ PTO Khu Tiền Phong</v>
          </cell>
          <cell r="D256" t="str">
            <v>T. Phú Thọ</v>
          </cell>
          <cell r="E256" t="str">
            <v>H. Cẩm Khê</v>
          </cell>
          <cell r="F256">
            <v>255</v>
          </cell>
          <cell r="H256" t="str">
            <v>WMP</v>
          </cell>
          <cell r="I256" t="str">
            <v>VIETTEL</v>
          </cell>
        </row>
        <row r="257">
          <cell r="B257" t="str">
            <v>2BDO</v>
          </cell>
          <cell r="C257" t="str">
            <v>WM+ PTO Khu An Ninh, Hùng Việt</v>
          </cell>
          <cell r="D257" t="str">
            <v>T. Phú Thọ</v>
          </cell>
          <cell r="E257" t="str">
            <v>H. Cẩm Khê</v>
          </cell>
          <cell r="F257">
            <v>256</v>
          </cell>
          <cell r="H257" t="str">
            <v>WMP</v>
          </cell>
          <cell r="I257" t="str">
            <v>VIETTEL</v>
          </cell>
        </row>
        <row r="258">
          <cell r="B258" t="str">
            <v>2BDF</v>
          </cell>
          <cell r="C258" t="str">
            <v>WM+ PTO Trung Tiến 2, Hùng Việt</v>
          </cell>
          <cell r="D258" t="str">
            <v>T. Phú Thọ</v>
          </cell>
          <cell r="E258" t="str">
            <v>H. Cẩm Khê</v>
          </cell>
          <cell r="F258">
            <v>257</v>
          </cell>
          <cell r="H258" t="str">
            <v>WMP</v>
          </cell>
          <cell r="I258" t="str">
            <v>VIETTEL</v>
          </cell>
        </row>
        <row r="259">
          <cell r="B259" t="str">
            <v>2BSF</v>
          </cell>
          <cell r="C259" t="str">
            <v>WM+ PTO 234 Đông Phú</v>
          </cell>
          <cell r="D259" t="str">
            <v>T. Phú Thọ</v>
          </cell>
          <cell r="E259" t="str">
            <v>H. Cẩm Khê</v>
          </cell>
          <cell r="F259">
            <v>258</v>
          </cell>
          <cell r="H259" t="str">
            <v>WMP</v>
          </cell>
          <cell r="I259" t="str">
            <v>VIETTEL</v>
          </cell>
        </row>
        <row r="260">
          <cell r="B260" t="str">
            <v>2BF1</v>
          </cell>
          <cell r="C260" t="str">
            <v>WM+ PTO Bắc Tiến 2, Hùng Việt</v>
          </cell>
          <cell r="D260" t="str">
            <v>T. Phú Thọ</v>
          </cell>
          <cell r="E260" t="str">
            <v>H. Cẩm Khê</v>
          </cell>
          <cell r="F260">
            <v>259</v>
          </cell>
          <cell r="H260" t="str">
            <v>WMP</v>
          </cell>
          <cell r="I260" t="str">
            <v>VIETTEL</v>
          </cell>
        </row>
        <row r="261">
          <cell r="B261" t="str">
            <v>2BVZ</v>
          </cell>
          <cell r="C261" t="str">
            <v>WM+ PTO Khu Cống 2, Cẩm Khê</v>
          </cell>
          <cell r="D261" t="str">
            <v>T. Phú Thọ</v>
          </cell>
          <cell r="E261" t="str">
            <v>H. Cẩm Khê</v>
          </cell>
          <cell r="F261">
            <v>260</v>
          </cell>
          <cell r="H261" t="str">
            <v>WMP</v>
          </cell>
          <cell r="I261" t="str">
            <v>VIETTEL</v>
          </cell>
        </row>
        <row r="262">
          <cell r="B262" t="str">
            <v>6291</v>
          </cell>
          <cell r="C262" t="str">
            <v>WM+ PTO Hoa Khê, Cẩm Khê</v>
          </cell>
          <cell r="D262" t="str">
            <v>T. Phú Thọ</v>
          </cell>
          <cell r="E262" t="str">
            <v>H. Cẩm Khê</v>
          </cell>
          <cell r="F262">
            <v>261</v>
          </cell>
          <cell r="H262" t="str">
            <v>WMP</v>
          </cell>
          <cell r="I262" t="str">
            <v>VIETTEL</v>
          </cell>
        </row>
        <row r="263">
          <cell r="B263" t="str">
            <v>6680</v>
          </cell>
          <cell r="C263" t="str">
            <v>WM+ PTO Minh Tân, Cẩm Khê</v>
          </cell>
          <cell r="D263" t="str">
            <v>T. Phú Thọ</v>
          </cell>
          <cell r="E263" t="str">
            <v>H. Cẩm Khê</v>
          </cell>
          <cell r="F263">
            <v>262</v>
          </cell>
          <cell r="H263" t="str">
            <v>WMP</v>
          </cell>
          <cell r="I263" t="str">
            <v>VIETTEL</v>
          </cell>
        </row>
        <row r="264">
          <cell r="B264" t="str">
            <v>2BIB</v>
          </cell>
          <cell r="C264" t="str">
            <v>WM+ PTO Nương Sơn, Vân Bán</v>
          </cell>
          <cell r="D264" t="str">
            <v>T. Phú Thọ</v>
          </cell>
          <cell r="E264" t="str">
            <v>H. Cẩm Khê</v>
          </cell>
          <cell r="F264">
            <v>263</v>
          </cell>
          <cell r="H264" t="str">
            <v>WMP</v>
          </cell>
          <cell r="I264" t="str">
            <v>VIETTEL</v>
          </cell>
        </row>
        <row r="265">
          <cell r="B265" t="str">
            <v>6281</v>
          </cell>
          <cell r="C265" t="str">
            <v>WM+ PTO 425-427 Lạc Long Quân</v>
          </cell>
          <cell r="D265" t="str">
            <v>T. Phú Thọ</v>
          </cell>
          <cell r="E265" t="str">
            <v>H. Hạ Hoà</v>
          </cell>
          <cell r="F265">
            <v>264</v>
          </cell>
          <cell r="H265" t="str">
            <v>WMP</v>
          </cell>
          <cell r="I265" t="str">
            <v>VIETTEL</v>
          </cell>
        </row>
        <row r="266">
          <cell r="B266" t="str">
            <v>2BWO</v>
          </cell>
          <cell r="C266" t="str">
            <v>WM+ PTO TĐ 24 Khu 8, Hạ Hòa</v>
          </cell>
          <cell r="D266" t="str">
            <v>T. Phú Thọ</v>
          </cell>
          <cell r="E266" t="str">
            <v>H. Hạ Hòa</v>
          </cell>
          <cell r="F266">
            <v>265</v>
          </cell>
          <cell r="H266" t="str">
            <v>WMP</v>
          </cell>
          <cell r="I266" t="str">
            <v>VIETTEL</v>
          </cell>
        </row>
        <row r="267">
          <cell r="B267" t="str">
            <v>2BX3</v>
          </cell>
          <cell r="C267" t="str">
            <v>WM+ PTO Khu 10, Hạ Hòa</v>
          </cell>
          <cell r="D267" t="str">
            <v>T. Phú Thọ</v>
          </cell>
          <cell r="E267" t="str">
            <v>H. Hạ Hoà</v>
          </cell>
          <cell r="F267">
            <v>266</v>
          </cell>
          <cell r="H267" t="str">
            <v>WMP</v>
          </cell>
          <cell r="I267" t="str">
            <v>VIETTEL</v>
          </cell>
        </row>
        <row r="268">
          <cell r="B268" t="str">
            <v>2BZ8</v>
          </cell>
          <cell r="C268" t="str">
            <v>WM+ PTO Khu 6 Hương Xạ, Yên Kỳ</v>
          </cell>
          <cell r="D268" t="str">
            <v>T. Phú Thọ</v>
          </cell>
          <cell r="E268" t="str">
            <v>H. Hạ Hòa</v>
          </cell>
          <cell r="F268">
            <v>267</v>
          </cell>
          <cell r="H268" t="str">
            <v>WMP</v>
          </cell>
          <cell r="I268" t="str">
            <v>VIETTEL</v>
          </cell>
        </row>
        <row r="269">
          <cell r="B269" t="str">
            <v>2A66</v>
          </cell>
          <cell r="C269" t="str">
            <v>WM+ PTO Khu Phố, Đoan Hùng</v>
          </cell>
          <cell r="D269" t="str">
            <v>T. Phú Thọ</v>
          </cell>
          <cell r="E269" t="str">
            <v>H. Đoan Hùng</v>
          </cell>
          <cell r="F269">
            <v>268</v>
          </cell>
          <cell r="H269" t="str">
            <v>WMP</v>
          </cell>
          <cell r="I269" t="str">
            <v>VIETTEL</v>
          </cell>
        </row>
        <row r="270">
          <cell r="B270" t="str">
            <v>2BS5</v>
          </cell>
          <cell r="C270" t="str">
            <v>WM+ PTO Phượng Hùng 1, Chí Đám</v>
          </cell>
          <cell r="D270" t="str">
            <v>T. Phú Thọ</v>
          </cell>
          <cell r="E270" t="str">
            <v>H. Đoan Hùng</v>
          </cell>
          <cell r="F270">
            <v>269</v>
          </cell>
          <cell r="H270" t="str">
            <v>WMP</v>
          </cell>
          <cell r="I270" t="str">
            <v>VIETTEL</v>
          </cell>
        </row>
        <row r="271">
          <cell r="B271" t="str">
            <v>6264</v>
          </cell>
          <cell r="C271" t="str">
            <v>WM+ PTO Khu Ngọc Chúc 3, Đoan Hùng</v>
          </cell>
          <cell r="D271" t="str">
            <v>T. Phú Thọ</v>
          </cell>
          <cell r="E271" t="str">
            <v>H. Đoan Hùng</v>
          </cell>
          <cell r="F271">
            <v>270</v>
          </cell>
          <cell r="H271" t="str">
            <v>WMP</v>
          </cell>
          <cell r="I271" t="str">
            <v>VIETTEL</v>
          </cell>
        </row>
        <row r="272">
          <cell r="B272" t="str">
            <v>5943</v>
          </cell>
          <cell r="C272" t="str">
            <v>WM+ PTO 574 Tân Tiến</v>
          </cell>
          <cell r="D272" t="str">
            <v>T. Phú Thọ</v>
          </cell>
          <cell r="E272" t="str">
            <v>H. Đoan Hùng</v>
          </cell>
          <cell r="F272">
            <v>271</v>
          </cell>
          <cell r="H272" t="str">
            <v>WMP</v>
          </cell>
          <cell r="I272" t="str">
            <v>VIETTEL</v>
          </cell>
        </row>
        <row r="273">
          <cell r="B273" t="str">
            <v>2ALO</v>
          </cell>
          <cell r="C273" t="str">
            <v>WM+ PTO Khu 2, Chân Mộng</v>
          </cell>
          <cell r="D273" t="str">
            <v>T. Phú Thọ</v>
          </cell>
          <cell r="E273" t="str">
            <v>H. Đoan Hùng</v>
          </cell>
          <cell r="F273">
            <v>272</v>
          </cell>
          <cell r="H273" t="str">
            <v>WMP</v>
          </cell>
          <cell r="I273" t="str">
            <v>VIETTEL</v>
          </cell>
        </row>
        <row r="274">
          <cell r="B274" t="str">
            <v>2BZL</v>
          </cell>
          <cell r="C274" t="str">
            <v>WM+ PTO Khu 4 Vụ Quang, Chân Mộng</v>
          </cell>
          <cell r="D274" t="str">
            <v>T. Phú Thọ</v>
          </cell>
          <cell r="E274" t="str">
            <v>H. Đoan Hùng</v>
          </cell>
          <cell r="F274">
            <v>273</v>
          </cell>
          <cell r="H274" t="str">
            <v>WMP</v>
          </cell>
          <cell r="I274" t="str">
            <v>VIETTEL</v>
          </cell>
        </row>
        <row r="275">
          <cell r="B275" t="str">
            <v>2CBH</v>
          </cell>
          <cell r="C275" t="str">
            <v>WM+ PTO Khu 5, Chân Mộng</v>
          </cell>
          <cell r="D275" t="str">
            <v>T. Phú Thọ</v>
          </cell>
          <cell r="E275" t="str">
            <v>H. Đoan Hùng</v>
          </cell>
          <cell r="F275">
            <v>274</v>
          </cell>
          <cell r="H275" t="str">
            <v>WMP</v>
          </cell>
          <cell r="I275" t="str">
            <v>VIETTEL</v>
          </cell>
        </row>
        <row r="276">
          <cell r="B276" t="str">
            <v>2CFI</v>
          </cell>
          <cell r="C276" t="str">
            <v>WM+ PTO Khu 8, Tiêu Sơn, Chân Mộng</v>
          </cell>
          <cell r="D276" t="str">
            <v>T. Phú Thọ</v>
          </cell>
          <cell r="E276" t="str">
            <v>H. Đoan Hùng</v>
          </cell>
          <cell r="F276">
            <v>275</v>
          </cell>
          <cell r="H276" t="str">
            <v>WMP</v>
          </cell>
          <cell r="I276" t="str">
            <v>VIETTEL</v>
          </cell>
        </row>
        <row r="277">
          <cell r="B277" t="str">
            <v>2BIZ</v>
          </cell>
          <cell r="C277" t="str">
            <v>WM+ PTO Khu 4, Hoàng Cương</v>
          </cell>
          <cell r="D277" t="str">
            <v>T. Phú Thọ</v>
          </cell>
          <cell r="E277" t="str">
            <v>H. Thanh Ba</v>
          </cell>
          <cell r="F277">
            <v>276</v>
          </cell>
          <cell r="H277" t="str">
            <v>WMP</v>
          </cell>
          <cell r="I277" t="str">
            <v>VIETTEL</v>
          </cell>
        </row>
        <row r="278">
          <cell r="B278" t="str">
            <v>2BBH</v>
          </cell>
          <cell r="C278" t="str">
            <v>WM+ PTO Khu 8, Đông Thành</v>
          </cell>
          <cell r="D278" t="str">
            <v>T. Phú Thọ</v>
          </cell>
          <cell r="E278" t="str">
            <v>H. Thanh Ba</v>
          </cell>
          <cell r="F278">
            <v>277</v>
          </cell>
          <cell r="H278" t="str">
            <v>WMP</v>
          </cell>
          <cell r="I278" t="str">
            <v>VIETTEL</v>
          </cell>
        </row>
        <row r="279">
          <cell r="B279" t="str">
            <v>2BQJ</v>
          </cell>
          <cell r="C279" t="str">
            <v>WM+ PTO Khu 6 Đồng Xuân, Thanh Ba</v>
          </cell>
          <cell r="D279" t="str">
            <v>T. Phú Thọ</v>
          </cell>
          <cell r="E279" t="str">
            <v>H. Thanh Ba</v>
          </cell>
          <cell r="F279">
            <v>278</v>
          </cell>
          <cell r="H279" t="str">
            <v>WMP</v>
          </cell>
          <cell r="I279" t="str">
            <v>VIETTEL</v>
          </cell>
        </row>
        <row r="280">
          <cell r="B280" t="str">
            <v>5944</v>
          </cell>
          <cell r="C280" t="str">
            <v>WM+ PTO 12 Hàn Thuyên</v>
          </cell>
          <cell r="D280" t="str">
            <v>T. Phú Thọ</v>
          </cell>
          <cell r="E280" t="str">
            <v>H. Thanh Ba</v>
          </cell>
          <cell r="F280">
            <v>279</v>
          </cell>
          <cell r="H280" t="str">
            <v>WMP</v>
          </cell>
          <cell r="I280" t="str">
            <v>VIETTEL</v>
          </cell>
        </row>
        <row r="281">
          <cell r="B281" t="str">
            <v>5947</v>
          </cell>
          <cell r="C281" t="str">
            <v>WM+ PTO Khu 8 Thanh Ba</v>
          </cell>
          <cell r="D281" t="str">
            <v>T. Phú Thọ</v>
          </cell>
          <cell r="E281" t="str">
            <v>H. Thanh Ba</v>
          </cell>
          <cell r="F281">
            <v>280</v>
          </cell>
          <cell r="H281" t="str">
            <v>WMP</v>
          </cell>
          <cell r="I281" t="str">
            <v>VIETTEL</v>
          </cell>
        </row>
        <row r="282">
          <cell r="B282" t="str">
            <v>2ANB</v>
          </cell>
          <cell r="C282" t="str">
            <v>WM+ PTO Khu 15, Hanh Cù</v>
          </cell>
          <cell r="D282" t="str">
            <v>T. Phú Thọ</v>
          </cell>
          <cell r="E282" t="str">
            <v>H. Thanh Ba</v>
          </cell>
          <cell r="F282">
            <v>281</v>
          </cell>
          <cell r="H282" t="str">
            <v>WMP</v>
          </cell>
          <cell r="I282" t="str">
            <v>VIETTEL</v>
          </cell>
        </row>
        <row r="283">
          <cell r="B283" t="str">
            <v>2BPF</v>
          </cell>
          <cell r="C283" t="str">
            <v>WM+ PTO Khu 3, Thanh Ba</v>
          </cell>
          <cell r="D283" t="str">
            <v>T. Phú Thọ</v>
          </cell>
          <cell r="E283" t="str">
            <v>H. Thanh Ba</v>
          </cell>
          <cell r="F283">
            <v>282</v>
          </cell>
          <cell r="H283" t="str">
            <v>WMP</v>
          </cell>
          <cell r="I283" t="str">
            <v>VIETTEL</v>
          </cell>
        </row>
        <row r="284">
          <cell r="B284" t="str">
            <v>2BXG</v>
          </cell>
          <cell r="C284" t="str">
            <v>WM+ PTO Khu 9, Chí Tiên</v>
          </cell>
          <cell r="D284" t="str">
            <v>T. Phú Thọ</v>
          </cell>
          <cell r="E284" t="str">
            <v>H. Thanh Ba</v>
          </cell>
          <cell r="F284">
            <v>283</v>
          </cell>
          <cell r="H284" t="str">
            <v>WMP</v>
          </cell>
          <cell r="I284" t="str">
            <v>VIETTEL</v>
          </cell>
        </row>
        <row r="285">
          <cell r="B285" t="str">
            <v>2CCB</v>
          </cell>
          <cell r="C285" t="str">
            <v>WM+ PTO Khu 3, Liên Minh</v>
          </cell>
          <cell r="D285" t="str">
            <v>T. Phú Thọ</v>
          </cell>
          <cell r="E285" t="str">
            <v>H. Thanh Ba</v>
          </cell>
          <cell r="F285">
            <v>284</v>
          </cell>
          <cell r="H285" t="str">
            <v>WMP</v>
          </cell>
          <cell r="I285" t="str">
            <v>VIETTEL</v>
          </cell>
        </row>
        <row r="286">
          <cell r="B286" t="str">
            <v>2BW4</v>
          </cell>
          <cell r="C286" t="str">
            <v>WM+ PTO Thanh Bình, Âu Cơ</v>
          </cell>
          <cell r="D286" t="str">
            <v>T. Phú Thọ</v>
          </cell>
          <cell r="E286" t="str">
            <v>TX. Phú Thọ</v>
          </cell>
          <cell r="F286">
            <v>285</v>
          </cell>
          <cell r="H286" t="str">
            <v>WMP</v>
          </cell>
          <cell r="I286" t="str">
            <v>VIETTEL</v>
          </cell>
        </row>
        <row r="287">
          <cell r="B287" t="str">
            <v>5846</v>
          </cell>
          <cell r="C287" t="str">
            <v>WM+ PTO 75 Cao Bang</v>
          </cell>
          <cell r="D287" t="str">
            <v>T. Phú Thọ</v>
          </cell>
          <cell r="E287" t="str">
            <v>TX. Phú Thọ</v>
          </cell>
          <cell r="F287">
            <v>286</v>
          </cell>
          <cell r="H287" t="str">
            <v>WMP</v>
          </cell>
          <cell r="I287" t="str">
            <v>VIETTEL</v>
          </cell>
        </row>
        <row r="288">
          <cell r="B288" t="str">
            <v>5847</v>
          </cell>
          <cell r="C288" t="str">
            <v>WM+ PTO 191 Cao Du</v>
          </cell>
          <cell r="D288" t="str">
            <v>T. Phú Thọ</v>
          </cell>
          <cell r="E288" t="str">
            <v>TX. Phú Thọ</v>
          </cell>
          <cell r="F288">
            <v>287</v>
          </cell>
          <cell r="H288" t="str">
            <v>WMP</v>
          </cell>
          <cell r="I288" t="str">
            <v>VIETTEL</v>
          </cell>
        </row>
        <row r="289">
          <cell r="B289" t="str">
            <v>1649</v>
          </cell>
          <cell r="C289" t="str">
            <v>WM VC+ PTO Phú Thọ</v>
          </cell>
          <cell r="D289" t="str">
            <v>T. Phú Thọ</v>
          </cell>
          <cell r="E289" t="str">
            <v>TX. Phú Thọ</v>
          </cell>
          <cell r="F289">
            <v>288</v>
          </cell>
          <cell r="H289" t="str">
            <v>WMP</v>
          </cell>
          <cell r="I289" t="str">
            <v>VIETTEL</v>
          </cell>
        </row>
        <row r="290">
          <cell r="B290" t="str">
            <v>5814</v>
          </cell>
          <cell r="C290" t="str">
            <v>WM+ PTO 25 tổ 10 Tân An</v>
          </cell>
          <cell r="D290" t="str">
            <v>T. Phú Thọ</v>
          </cell>
          <cell r="E290" t="str">
            <v>TX. Phú Thọ</v>
          </cell>
          <cell r="F290">
            <v>289</v>
          </cell>
          <cell r="H290" t="str">
            <v>WMP</v>
          </cell>
          <cell r="I290" t="str">
            <v>VIETTEL</v>
          </cell>
        </row>
        <row r="291">
          <cell r="B291" t="str">
            <v>2BZ0</v>
          </cell>
          <cell r="C291" t="str">
            <v>WM+ PTO An Ninh Hạ, Phú Thọ</v>
          </cell>
          <cell r="D291" t="str">
            <v>T. Phú Thọ</v>
          </cell>
          <cell r="E291" t="str">
            <v>TX. Phú Thọ</v>
          </cell>
          <cell r="F291">
            <v>290</v>
          </cell>
          <cell r="H291" t="str">
            <v>WMP</v>
          </cell>
          <cell r="I291" t="str">
            <v>VIETTEL</v>
          </cell>
        </row>
        <row r="292">
          <cell r="B292" t="str">
            <v>2CFK</v>
          </cell>
          <cell r="C292" t="str">
            <v>WM+ PTO KĐT Âu Cơ, Âu Cơ</v>
          </cell>
          <cell r="D292" t="str">
            <v>T. Phú Thọ</v>
          </cell>
          <cell r="E292" t="str">
            <v>TX. Phú Thọ</v>
          </cell>
          <cell r="F292">
            <v>291</v>
          </cell>
          <cell r="H292" t="str">
            <v>WMP</v>
          </cell>
          <cell r="I292" t="str">
            <v>VIETTEL</v>
          </cell>
        </row>
        <row r="293">
          <cell r="B293" t="str">
            <v>2ANV</v>
          </cell>
          <cell r="C293" t="str">
            <v>WM+ PTO Khu Km5, Hà Lộc</v>
          </cell>
          <cell r="D293" t="str">
            <v>T. Phú Thọ</v>
          </cell>
          <cell r="E293" t="str">
            <v>TX. Phú Thọ</v>
          </cell>
          <cell r="F293">
            <v>292</v>
          </cell>
          <cell r="H293" t="str">
            <v>WMP</v>
          </cell>
          <cell r="I293" t="str">
            <v>VIETTEL</v>
          </cell>
        </row>
        <row r="294">
          <cell r="B294" t="str">
            <v>2BAW</v>
          </cell>
          <cell r="C294" t="str">
            <v>WM+ PTO Khu 4, Phú Mỹ</v>
          </cell>
          <cell r="D294" t="str">
            <v>T. Phú Thọ</v>
          </cell>
          <cell r="E294" t="str">
            <v>H. Phù Ninh</v>
          </cell>
          <cell r="F294">
            <v>293</v>
          </cell>
          <cell r="H294" t="str">
            <v>WMP</v>
          </cell>
          <cell r="I294" t="str">
            <v>VIETTEL</v>
          </cell>
        </row>
        <row r="295">
          <cell r="B295" t="str">
            <v>2AKL</v>
          </cell>
          <cell r="C295" t="str">
            <v>WM+ PTO Khu 2, Trạm Thản</v>
          </cell>
          <cell r="D295" t="str">
            <v>T. Phú Thọ</v>
          </cell>
          <cell r="E295" t="str">
            <v>H. Phù Ninh</v>
          </cell>
          <cell r="F295">
            <v>294</v>
          </cell>
          <cell r="H295" t="str">
            <v>WMP</v>
          </cell>
          <cell r="I295" t="str">
            <v>VIETTEL</v>
          </cell>
        </row>
        <row r="296">
          <cell r="B296" t="str">
            <v>5918</v>
          </cell>
          <cell r="C296" t="str">
            <v>WM+ PTO Khu 12 Phú Hộ</v>
          </cell>
          <cell r="D296" t="str">
            <v>T. Phú Thọ</v>
          </cell>
          <cell r="E296" t="str">
            <v>H. Phù Ninh</v>
          </cell>
          <cell r="F296">
            <v>295</v>
          </cell>
          <cell r="H296" t="str">
            <v>WMP</v>
          </cell>
          <cell r="I296" t="str">
            <v>VIETTEL</v>
          </cell>
        </row>
        <row r="297">
          <cell r="B297" t="str">
            <v>2BX4</v>
          </cell>
          <cell r="C297" t="str">
            <v>WM+ PTO Khu 10, Phù Ninh</v>
          </cell>
          <cell r="D297" t="str">
            <v>T. Phú Thọ</v>
          </cell>
          <cell r="E297" t="str">
            <v>H. Phù Ninh</v>
          </cell>
          <cell r="F297">
            <v>296</v>
          </cell>
          <cell r="H297" t="str">
            <v>WMP</v>
          </cell>
          <cell r="I297" t="str">
            <v>VIETTEL</v>
          </cell>
        </row>
        <row r="298">
          <cell r="B298" t="str">
            <v>6750</v>
          </cell>
          <cell r="C298" t="str">
            <v>WM+ PTO Bình Phú, Phù Ninh</v>
          </cell>
          <cell r="D298" t="str">
            <v>T. Phú Thọ</v>
          </cell>
          <cell r="E298" t="str">
            <v>H. Phù Ninh</v>
          </cell>
          <cell r="F298">
            <v>297</v>
          </cell>
          <cell r="H298" t="str">
            <v>WMP</v>
          </cell>
          <cell r="I298" t="str">
            <v>VIETTEL</v>
          </cell>
        </row>
        <row r="299">
          <cell r="B299" t="str">
            <v>2CAW</v>
          </cell>
          <cell r="C299" t="str">
            <v>WM+ PTO Khu 11, Bình Phú</v>
          </cell>
          <cell r="D299" t="str">
            <v>T. Phú Thọ</v>
          </cell>
          <cell r="E299" t="str">
            <v>H. Phù Ninh</v>
          </cell>
          <cell r="F299">
            <v>298</v>
          </cell>
          <cell r="H299" t="str">
            <v>WMP</v>
          </cell>
          <cell r="I299" t="str">
            <v>VIETTEL</v>
          </cell>
        </row>
        <row r="300">
          <cell r="B300" t="str">
            <v>2AD3</v>
          </cell>
          <cell r="C300" t="str">
            <v>WM+ PTO Núi Trang, Phù Ninh</v>
          </cell>
          <cell r="D300" t="str">
            <v>T. Phú Thọ</v>
          </cell>
          <cell r="E300" t="str">
            <v>H. Phù Ninh</v>
          </cell>
          <cell r="F300">
            <v>299</v>
          </cell>
          <cell r="H300" t="str">
            <v>WMP</v>
          </cell>
          <cell r="I300" t="str">
            <v>VIETTEL</v>
          </cell>
        </row>
        <row r="301">
          <cell r="B301" t="str">
            <v>5689</v>
          </cell>
          <cell r="C301" t="str">
            <v>WM+ PTO 188 Đường Nam, Phù Ninh</v>
          </cell>
          <cell r="D301" t="str">
            <v>T. Phú Thọ</v>
          </cell>
          <cell r="E301" t="str">
            <v>H. Phù Ninh</v>
          </cell>
          <cell r="F301">
            <v>300</v>
          </cell>
          <cell r="H301" t="str">
            <v>WMP</v>
          </cell>
          <cell r="I301" t="str">
            <v>VIETTEL</v>
          </cell>
        </row>
        <row r="302">
          <cell r="B302" t="str">
            <v>2B44</v>
          </cell>
          <cell r="C302" t="str">
            <v>WM+ PTO Khu 3, TT Phong Châu</v>
          </cell>
          <cell r="D302" t="str">
            <v>T. Phú Thọ</v>
          </cell>
          <cell r="E302" t="str">
            <v>H. Phù Ninh</v>
          </cell>
          <cell r="F302">
            <v>301</v>
          </cell>
          <cell r="H302" t="str">
            <v>WMP</v>
          </cell>
          <cell r="I302" t="str">
            <v>VIETTEL</v>
          </cell>
        </row>
        <row r="303">
          <cell r="B303" t="str">
            <v>6270</v>
          </cell>
          <cell r="C303" t="str">
            <v>WM+ PTO Phú Lộc, Phù Ninh</v>
          </cell>
          <cell r="D303" t="str">
            <v>T. Phú Thọ</v>
          </cell>
          <cell r="E303" t="str">
            <v>H. Phù Ninh</v>
          </cell>
          <cell r="F303">
            <v>302</v>
          </cell>
          <cell r="H303" t="str">
            <v>WMP</v>
          </cell>
          <cell r="I303" t="str">
            <v>VIETTEL</v>
          </cell>
        </row>
        <row r="304">
          <cell r="B304" t="str">
            <v>2BGF</v>
          </cell>
          <cell r="C304" t="str">
            <v>WM+ PTO Khu 10, Xuân Lũng</v>
          </cell>
          <cell r="D304" t="str">
            <v>T. Phú Thọ</v>
          </cell>
          <cell r="E304" t="str">
            <v>H. Lâm Thao</v>
          </cell>
          <cell r="F304">
            <v>303</v>
          </cell>
          <cell r="H304" t="str">
            <v>WMP</v>
          </cell>
          <cell r="I304" t="str">
            <v>GHN</v>
          </cell>
        </row>
        <row r="305">
          <cell r="B305" t="str">
            <v>2BBO</v>
          </cell>
          <cell r="C305" t="str">
            <v>WM+ PTO Khu 2, Xuân Lũng</v>
          </cell>
          <cell r="D305" t="str">
            <v>T. Phú Thọ</v>
          </cell>
          <cell r="E305" t="str">
            <v>H. Lâm Thao</v>
          </cell>
          <cell r="F305">
            <v>304</v>
          </cell>
          <cell r="H305" t="str">
            <v>WMP</v>
          </cell>
          <cell r="I305" t="str">
            <v>GHN</v>
          </cell>
        </row>
        <row r="306">
          <cell r="B306" t="str">
            <v>6540</v>
          </cell>
          <cell r="C306" t="str">
            <v>WM+ PTO Khu 12, TT Lâm Thao</v>
          </cell>
          <cell r="D306" t="str">
            <v>T. Phú Thọ</v>
          </cell>
          <cell r="E306" t="str">
            <v>H. Lâm Thao</v>
          </cell>
          <cell r="F306">
            <v>305</v>
          </cell>
          <cell r="H306" t="str">
            <v>WMP</v>
          </cell>
          <cell r="I306" t="str">
            <v>GHN</v>
          </cell>
        </row>
        <row r="307">
          <cell r="B307" t="str">
            <v>5905</v>
          </cell>
          <cell r="C307" t="str">
            <v>WM+ PTO 26 Âu Cơ</v>
          </cell>
          <cell r="D307" t="str">
            <v>T. Phú Thọ</v>
          </cell>
          <cell r="E307" t="str">
            <v>H. Lâm Thao</v>
          </cell>
          <cell r="F307">
            <v>306</v>
          </cell>
          <cell r="H307" t="str">
            <v>WMP</v>
          </cell>
          <cell r="I307" t="str">
            <v>GHN</v>
          </cell>
        </row>
        <row r="308">
          <cell r="B308" t="str">
            <v>2BX9</v>
          </cell>
          <cell r="C308" t="str">
            <v>WM+ PTO Khu 15, Dục Mỹ</v>
          </cell>
          <cell r="D308" t="str">
            <v>T. Phú Thọ</v>
          </cell>
          <cell r="E308" t="str">
            <v>H. Lâm Thao</v>
          </cell>
          <cell r="F308">
            <v>307</v>
          </cell>
          <cell r="H308" t="str">
            <v>WMP</v>
          </cell>
          <cell r="I308" t="str">
            <v>GHN</v>
          </cell>
        </row>
        <row r="309">
          <cell r="B309" t="str">
            <v>6338</v>
          </cell>
          <cell r="C309" t="str">
            <v>WM+ PTO Cao Xá, Lâm Thao</v>
          </cell>
          <cell r="D309" t="str">
            <v>T. Phú Thọ</v>
          </cell>
          <cell r="E309" t="str">
            <v>H. Lâm Thao</v>
          </cell>
          <cell r="F309">
            <v>308</v>
          </cell>
          <cell r="H309" t="str">
            <v>WMP</v>
          </cell>
          <cell r="I309" t="str">
            <v>GHN</v>
          </cell>
        </row>
        <row r="310">
          <cell r="B310" t="str">
            <v>2BW8</v>
          </cell>
          <cell r="C310" t="str">
            <v>WM+ PTO Khu 1, Bản Nguyên</v>
          </cell>
          <cell r="D310" t="str">
            <v>T. Phú Thọ</v>
          </cell>
          <cell r="E310" t="str">
            <v>H. Lâm Thao</v>
          </cell>
          <cell r="F310">
            <v>309</v>
          </cell>
          <cell r="H310" t="str">
            <v>WMP</v>
          </cell>
          <cell r="I310" t="str">
            <v>GHN</v>
          </cell>
        </row>
        <row r="311">
          <cell r="B311" t="str">
            <v>2AKG</v>
          </cell>
          <cell r="C311" t="str">
            <v>WM+ PTO Khu 5, Tứ Xã</v>
          </cell>
          <cell r="D311" t="str">
            <v>T. Phú Thọ</v>
          </cell>
          <cell r="E311" t="str">
            <v>H. Lâm Thao</v>
          </cell>
          <cell r="F311">
            <v>310</v>
          </cell>
          <cell r="H311" t="str">
            <v>WMP</v>
          </cell>
          <cell r="I311" t="str">
            <v>GHN</v>
          </cell>
        </row>
        <row r="312">
          <cell r="B312" t="str">
            <v>6562</v>
          </cell>
          <cell r="C312" t="str">
            <v>WM+ PTO 235-235B TT Hùng Sơn</v>
          </cell>
          <cell r="D312" t="str">
            <v>T. Phú Thọ</v>
          </cell>
          <cell r="E312" t="str">
            <v>H. Lâm Thao</v>
          </cell>
          <cell r="F312">
            <v>311</v>
          </cell>
          <cell r="H312" t="str">
            <v>WMP</v>
          </cell>
          <cell r="I312" t="str">
            <v>GHN</v>
          </cell>
        </row>
        <row r="313">
          <cell r="B313" t="str">
            <v>6399</v>
          </cell>
          <cell r="C313" t="str">
            <v>WM+ PTO Khu 3 Hùng Lô, Việt Trì</v>
          </cell>
          <cell r="D313" t="str">
            <v>T. Phú Thọ</v>
          </cell>
          <cell r="E313" t="str">
            <v>TP. Việt Trì</v>
          </cell>
          <cell r="F313">
            <v>312</v>
          </cell>
          <cell r="H313" t="str">
            <v>WMP</v>
          </cell>
          <cell r="I313" t="str">
            <v>VIETTEL</v>
          </cell>
        </row>
        <row r="314">
          <cell r="B314" t="str">
            <v>3539</v>
          </cell>
          <cell r="C314" t="str">
            <v>WM+ PTO Tổ 1, khu 1A, Vân Phú</v>
          </cell>
          <cell r="D314" t="str">
            <v>T. Phú Thọ</v>
          </cell>
          <cell r="E314" t="str">
            <v>TP. Việt Trì</v>
          </cell>
          <cell r="F314">
            <v>313</v>
          </cell>
          <cell r="H314" t="str">
            <v>WMP</v>
          </cell>
          <cell r="I314" t="str">
            <v>VIETTEL</v>
          </cell>
        </row>
        <row r="315">
          <cell r="B315" t="str">
            <v>4141</v>
          </cell>
          <cell r="C315" t="str">
            <v>WM+ PTO Khu 3 Vân Phú</v>
          </cell>
          <cell r="D315" t="str">
            <v>T. Phú Thọ</v>
          </cell>
          <cell r="E315" t="str">
            <v>TP. Việt Trì</v>
          </cell>
          <cell r="F315">
            <v>314</v>
          </cell>
          <cell r="H315" t="str">
            <v>WMP</v>
          </cell>
          <cell r="I315" t="str">
            <v>VIETTEL</v>
          </cell>
        </row>
        <row r="316">
          <cell r="B316" t="str">
            <v>2BEV</v>
          </cell>
          <cell r="C316" t="str">
            <v>WM+ PTO Đội 3, Nông Trang</v>
          </cell>
          <cell r="D316" t="str">
            <v>T. Phú Thọ</v>
          </cell>
          <cell r="E316" t="str">
            <v>TP. Việt Trì</v>
          </cell>
          <cell r="F316">
            <v>315</v>
          </cell>
          <cell r="H316" t="str">
            <v>WMP</v>
          </cell>
          <cell r="I316" t="str">
            <v>VIETTEL</v>
          </cell>
        </row>
        <row r="317">
          <cell r="B317" t="str">
            <v>2BS3</v>
          </cell>
          <cell r="C317" t="str">
            <v>WM+ PTO Khu 6, Hy Cương</v>
          </cell>
          <cell r="D317" t="str">
            <v>T. Phú Thọ</v>
          </cell>
          <cell r="E317" t="str">
            <v>TP. Việt Trì</v>
          </cell>
          <cell r="F317">
            <v>316</v>
          </cell>
          <cell r="H317" t="str">
            <v>WMP</v>
          </cell>
          <cell r="I317" t="str">
            <v>VIETTEL</v>
          </cell>
        </row>
        <row r="318">
          <cell r="B318" t="str">
            <v>3343</v>
          </cell>
          <cell r="C318" t="str">
            <v>WM+ PTO 3023 Đại Lộ Hùng Vương</v>
          </cell>
          <cell r="D318" t="str">
            <v>T. Phú Thọ</v>
          </cell>
          <cell r="E318" t="str">
            <v>TP. Việt Trì</v>
          </cell>
          <cell r="F318">
            <v>317</v>
          </cell>
          <cell r="H318" t="str">
            <v>WMP</v>
          </cell>
          <cell r="I318" t="str">
            <v>VIETTEL</v>
          </cell>
        </row>
        <row r="319">
          <cell r="B319" t="str">
            <v>2AY6</v>
          </cell>
          <cell r="C319" t="str">
            <v>WM+ PTO Khu Trung Phương, Việt Trì</v>
          </cell>
          <cell r="D319" t="str">
            <v>T. Phú Thọ</v>
          </cell>
          <cell r="E319" t="str">
            <v>TP. Việt Trì</v>
          </cell>
          <cell r="F319">
            <v>318</v>
          </cell>
          <cell r="H319" t="str">
            <v>WMP</v>
          </cell>
          <cell r="I319" t="str">
            <v>VIETTEL</v>
          </cell>
        </row>
        <row r="320">
          <cell r="B320" t="str">
            <v>4215</v>
          </cell>
          <cell r="C320" t="str">
            <v>WM+ PTO 44 Đại Nải</v>
          </cell>
          <cell r="D320" t="str">
            <v>T. Phú Thọ</v>
          </cell>
          <cell r="E320" t="str">
            <v>TP. Việt Trì</v>
          </cell>
          <cell r="F320">
            <v>319</v>
          </cell>
          <cell r="H320" t="str">
            <v>WMP</v>
          </cell>
          <cell r="I320" t="str">
            <v>VIETTEL</v>
          </cell>
        </row>
        <row r="321">
          <cell r="B321" t="str">
            <v>6117</v>
          </cell>
          <cell r="C321" t="str">
            <v>WM+ PTO 167-169 Nguyễn Trãi</v>
          </cell>
          <cell r="D321" t="str">
            <v>T. Phú Thọ</v>
          </cell>
          <cell r="E321" t="str">
            <v>TP. Việt Trì</v>
          </cell>
          <cell r="F321">
            <v>320</v>
          </cell>
          <cell r="H321" t="str">
            <v>WMP</v>
          </cell>
          <cell r="I321" t="str">
            <v>VIETTEL</v>
          </cell>
        </row>
        <row r="322">
          <cell r="B322" t="str">
            <v>6432</v>
          </cell>
          <cell r="C322" t="str">
            <v>WM+ PTO Vũ Duệ, Việt Trì</v>
          </cell>
          <cell r="D322" t="str">
            <v>T. Phú Thọ</v>
          </cell>
          <cell r="E322" t="str">
            <v>TP. Việt Trì</v>
          </cell>
          <cell r="F322">
            <v>321</v>
          </cell>
          <cell r="H322" t="str">
            <v>WMP</v>
          </cell>
          <cell r="I322" t="str">
            <v>VIETTEL</v>
          </cell>
        </row>
        <row r="323">
          <cell r="B323" t="str">
            <v>3585</v>
          </cell>
          <cell r="C323" t="str">
            <v>WM+ PTO Khu 6B, Nông Trang</v>
          </cell>
          <cell r="D323" t="str">
            <v>T. Phú Thọ</v>
          </cell>
          <cell r="E323" t="str">
            <v>TP. Việt Trì</v>
          </cell>
          <cell r="F323">
            <v>322</v>
          </cell>
          <cell r="H323" t="str">
            <v>WMP</v>
          </cell>
          <cell r="I323" t="str">
            <v>VIETTEL</v>
          </cell>
        </row>
        <row r="324">
          <cell r="B324" t="str">
            <v>3345</v>
          </cell>
          <cell r="C324" t="str">
            <v>WM+ PTO 44 Nguyễn Du</v>
          </cell>
          <cell r="D324" t="str">
            <v>T. Phú Thọ</v>
          </cell>
          <cell r="E324" t="str">
            <v>TP. Việt Trì</v>
          </cell>
          <cell r="F324">
            <v>323</v>
          </cell>
          <cell r="H324" t="str">
            <v>WMP</v>
          </cell>
          <cell r="I324" t="str">
            <v>VIETTEL</v>
          </cell>
        </row>
        <row r="325">
          <cell r="B325" t="str">
            <v>3627</v>
          </cell>
          <cell r="C325" t="str">
            <v xml:space="preserve">WM+ PTO Khu 2A, Nông Trang </v>
          </cell>
          <cell r="D325" t="str">
            <v>T. Phú Thọ</v>
          </cell>
          <cell r="E325" t="str">
            <v>TP. Việt Trì</v>
          </cell>
          <cell r="F325">
            <v>324</v>
          </cell>
          <cell r="H325" t="str">
            <v>WMP</v>
          </cell>
          <cell r="I325" t="str">
            <v>VIETTEL</v>
          </cell>
        </row>
        <row r="326">
          <cell r="B326" t="str">
            <v>4106</v>
          </cell>
          <cell r="C326" t="str">
            <v>WM+ PTO Khu 8 Nông Trang</v>
          </cell>
          <cell r="D326" t="str">
            <v>T. Phú Thọ</v>
          </cell>
          <cell r="E326" t="str">
            <v>TP. Việt Trì</v>
          </cell>
          <cell r="F326">
            <v>325</v>
          </cell>
          <cell r="H326" t="str">
            <v>WMP</v>
          </cell>
          <cell r="I326" t="str">
            <v>VIETTEL</v>
          </cell>
        </row>
        <row r="327">
          <cell r="B327" t="str">
            <v>3518</v>
          </cell>
          <cell r="C327" t="str">
            <v>WM+ PTO 73 Quang Trung</v>
          </cell>
          <cell r="D327" t="str">
            <v>T. Phú Thọ</v>
          </cell>
          <cell r="E327" t="str">
            <v>TP. Việt Trì</v>
          </cell>
          <cell r="F327">
            <v>326</v>
          </cell>
          <cell r="H327" t="str">
            <v>WMP</v>
          </cell>
          <cell r="I327" t="str">
            <v>VIETTEL</v>
          </cell>
        </row>
        <row r="328">
          <cell r="B328" t="str">
            <v>3313</v>
          </cell>
          <cell r="C328" t="str">
            <v>WM+ PTO 62 Phan Châu Trinh</v>
          </cell>
          <cell r="D328" t="str">
            <v>T. Phú Thọ</v>
          </cell>
          <cell r="E328" t="str">
            <v>TP. Việt Trì</v>
          </cell>
          <cell r="F328">
            <v>327</v>
          </cell>
          <cell r="H328" t="str">
            <v>WMP</v>
          </cell>
          <cell r="I328" t="str">
            <v>VIETTEL</v>
          </cell>
        </row>
        <row r="329">
          <cell r="B329" t="str">
            <v>3642</v>
          </cell>
          <cell r="C329" t="str">
            <v>WM+ PTO Băng 1, Quang Trung</v>
          </cell>
          <cell r="D329" t="str">
            <v>T. Phú Thọ</v>
          </cell>
          <cell r="E329" t="str">
            <v>TP. Việt Trì</v>
          </cell>
          <cell r="F329">
            <v>328</v>
          </cell>
          <cell r="H329" t="str">
            <v>WMP</v>
          </cell>
          <cell r="I329" t="str">
            <v>VIETTEL</v>
          </cell>
        </row>
        <row r="330">
          <cell r="B330" t="str">
            <v>6052</v>
          </cell>
          <cell r="C330" t="str">
            <v>WM+ PTO Khu 5 Nông Trang</v>
          </cell>
          <cell r="D330" t="str">
            <v>T. Phú Thọ</v>
          </cell>
          <cell r="E330" t="str">
            <v>TP. Việt Trì</v>
          </cell>
          <cell r="F330">
            <v>329</v>
          </cell>
          <cell r="H330" t="str">
            <v>WMP</v>
          </cell>
          <cell r="I330" t="str">
            <v>VIETTEL</v>
          </cell>
        </row>
        <row r="331">
          <cell r="B331" t="str">
            <v>3656</v>
          </cell>
          <cell r="C331" t="str">
            <v>WM+ PTO Khu Tân Thịnh, Tân Dân</v>
          </cell>
          <cell r="D331" t="str">
            <v>T. Phú Thọ</v>
          </cell>
          <cell r="E331" t="str">
            <v>TP. Việt Trì</v>
          </cell>
          <cell r="F331">
            <v>330</v>
          </cell>
          <cell r="H331" t="str">
            <v>WMP</v>
          </cell>
          <cell r="I331" t="str">
            <v>VIETTEL</v>
          </cell>
        </row>
        <row r="332">
          <cell r="B332" t="str">
            <v>6529</v>
          </cell>
          <cell r="C332" t="str">
            <v>WM+ PTO 545 Trần Phú</v>
          </cell>
          <cell r="D332" t="str">
            <v>T. Phú Thọ</v>
          </cell>
          <cell r="E332" t="str">
            <v>TP. Việt Trì</v>
          </cell>
          <cell r="F332">
            <v>331</v>
          </cell>
          <cell r="H332" t="str">
            <v>WMP</v>
          </cell>
          <cell r="I332" t="str">
            <v>GHN</v>
          </cell>
        </row>
        <row r="333">
          <cell r="B333" t="str">
            <v>6513</v>
          </cell>
          <cell r="C333" t="str">
            <v>WM+ PTO 12 Tổ 5 Trần Phú</v>
          </cell>
          <cell r="D333" t="str">
            <v>T. Phú Thọ</v>
          </cell>
          <cell r="E333" t="str">
            <v>TP. Việt Trì</v>
          </cell>
          <cell r="F333">
            <v>332</v>
          </cell>
          <cell r="H333" t="str">
            <v>WMP</v>
          </cell>
          <cell r="I333" t="str">
            <v>GHN</v>
          </cell>
        </row>
        <row r="334">
          <cell r="B334" t="str">
            <v>3643</v>
          </cell>
          <cell r="C334" t="str">
            <v>WM+ PTO Khu Tân An, Tân Dân</v>
          </cell>
          <cell r="D334" t="str">
            <v>T. Phú Thọ</v>
          </cell>
          <cell r="E334" t="str">
            <v>TP. Việt Trì</v>
          </cell>
          <cell r="F334">
            <v>333</v>
          </cell>
          <cell r="H334" t="str">
            <v>WMP</v>
          </cell>
          <cell r="I334" t="str">
            <v>GHN</v>
          </cell>
        </row>
        <row r="335">
          <cell r="B335" t="str">
            <v>2BFK</v>
          </cell>
          <cell r="C335" t="str">
            <v>WM+ PTO 192-194 Trần Phú, Việt Trì</v>
          </cell>
          <cell r="D335" t="str">
            <v>T. Phú Thọ</v>
          </cell>
          <cell r="E335" t="str">
            <v>TP. Việt Trì</v>
          </cell>
          <cell r="F335">
            <v>334</v>
          </cell>
          <cell r="H335" t="str">
            <v>WMP</v>
          </cell>
          <cell r="I335" t="str">
            <v>GHN</v>
          </cell>
        </row>
        <row r="336">
          <cell r="B336" t="str">
            <v>3993</v>
          </cell>
          <cell r="C336" t="str">
            <v>WM+ PTO 66 Hàn Thuyên</v>
          </cell>
          <cell r="D336" t="str">
            <v>T. Phú Thọ</v>
          </cell>
          <cell r="E336" t="str">
            <v>TP. Việt Trì</v>
          </cell>
          <cell r="F336">
            <v>335</v>
          </cell>
          <cell r="H336" t="str">
            <v>WMP</v>
          </cell>
          <cell r="I336" t="str">
            <v>GHN</v>
          </cell>
        </row>
        <row r="337">
          <cell r="B337" t="str">
            <v>2AB9</v>
          </cell>
          <cell r="C337" t="str">
            <v>WM+ PTO 35 Hà Chương</v>
          </cell>
          <cell r="D337" t="str">
            <v>T. Phú Thọ</v>
          </cell>
          <cell r="E337" t="str">
            <v>TP. Việt Trì</v>
          </cell>
          <cell r="F337">
            <v>336</v>
          </cell>
          <cell r="H337" t="str">
            <v>WMP</v>
          </cell>
          <cell r="I337" t="str">
            <v>GHN</v>
          </cell>
        </row>
        <row r="338">
          <cell r="B338" t="str">
            <v>6045</v>
          </cell>
          <cell r="C338" t="str">
            <v>WM+ PTO 476 Châu Phong</v>
          </cell>
          <cell r="D338" t="str">
            <v>T. Phú Thọ</v>
          </cell>
          <cell r="E338" t="str">
            <v>TP. Việt Trì</v>
          </cell>
          <cell r="F338">
            <v>337</v>
          </cell>
          <cell r="H338" t="str">
            <v>WMP</v>
          </cell>
          <cell r="I338" t="str">
            <v>GHN</v>
          </cell>
        </row>
        <row r="339">
          <cell r="B339" t="str">
            <v>6460</v>
          </cell>
          <cell r="C339" t="str">
            <v>WM+ PTO Đồng Gia, Việt Trì</v>
          </cell>
          <cell r="D339" t="str">
            <v>T. Phú Thọ</v>
          </cell>
          <cell r="E339" t="str">
            <v>TP. Việt Trì</v>
          </cell>
          <cell r="F339">
            <v>338</v>
          </cell>
          <cell r="H339" t="str">
            <v>WMP</v>
          </cell>
          <cell r="I339" t="str">
            <v>GHN</v>
          </cell>
        </row>
        <row r="340">
          <cell r="B340" t="str">
            <v>3435</v>
          </cell>
          <cell r="C340" t="str">
            <v>WM+ 130 Lê Quý Đôn, Việt Trì, PT</v>
          </cell>
          <cell r="D340" t="str">
            <v>T. Phú Thọ</v>
          </cell>
          <cell r="E340" t="str">
            <v>TP. Việt Trì</v>
          </cell>
          <cell r="F340">
            <v>339</v>
          </cell>
          <cell r="H340" t="str">
            <v>WMP</v>
          </cell>
          <cell r="I340" t="str">
            <v>GHN</v>
          </cell>
        </row>
        <row r="341">
          <cell r="B341" t="str">
            <v>1564</v>
          </cell>
          <cell r="C341" t="str">
            <v>WM VCP PTO Việt Trì</v>
          </cell>
          <cell r="D341" t="str">
            <v>T. Phú Thọ</v>
          </cell>
          <cell r="E341" t="str">
            <v>TP. Việt Trì</v>
          </cell>
          <cell r="F341">
            <v>340</v>
          </cell>
          <cell r="H341" t="str">
            <v>WMP</v>
          </cell>
          <cell r="I341" t="str">
            <v>GHN</v>
          </cell>
        </row>
        <row r="342">
          <cell r="B342" t="str">
            <v>2AJJ</v>
          </cell>
          <cell r="C342" t="str">
            <v>WM+ PTO 439 Tiên Dung</v>
          </cell>
          <cell r="D342" t="str">
            <v>T. Phú Thọ</v>
          </cell>
          <cell r="E342" t="str">
            <v>TP. Việt Trì</v>
          </cell>
          <cell r="F342">
            <v>341</v>
          </cell>
          <cell r="H342" t="str">
            <v>WMP</v>
          </cell>
          <cell r="I342" t="str">
            <v>GHN</v>
          </cell>
        </row>
        <row r="343">
          <cell r="B343" t="str">
            <v>3685</v>
          </cell>
          <cell r="C343" t="str">
            <v>WM+ PTO 1343 Hùng Vương</v>
          </cell>
          <cell r="D343" t="str">
            <v>T. Phú Thọ</v>
          </cell>
          <cell r="E343" t="str">
            <v>TP. Việt Trì</v>
          </cell>
          <cell r="F343">
            <v>342</v>
          </cell>
          <cell r="H343" t="str">
            <v>WMP</v>
          </cell>
          <cell r="I343" t="str">
            <v>GHN</v>
          </cell>
        </row>
        <row r="344">
          <cell r="B344" t="str">
            <v>3407</v>
          </cell>
          <cell r="C344" t="str">
            <v>WM+ PTO 1250 Hùng Vương</v>
          </cell>
          <cell r="D344" t="str">
            <v>T. Phú Thọ</v>
          </cell>
          <cell r="E344" t="str">
            <v>TP. Việt Trì</v>
          </cell>
          <cell r="F344">
            <v>343</v>
          </cell>
          <cell r="H344" t="str">
            <v>WMP</v>
          </cell>
          <cell r="I344" t="str">
            <v>GHN</v>
          </cell>
        </row>
        <row r="345">
          <cell r="B345" t="str">
            <v>2CFX</v>
          </cell>
          <cell r="C345" t="str">
            <v>WM+ PTO 965 Hùng Vương</v>
          </cell>
          <cell r="D345" t="str">
            <v>T. Phú Thọ</v>
          </cell>
          <cell r="E345" t="str">
            <v>TP. Việt Trì</v>
          </cell>
          <cell r="F345">
            <v>344</v>
          </cell>
          <cell r="H345" t="str">
            <v>WMP</v>
          </cell>
          <cell r="I345" t="str">
            <v>GHN</v>
          </cell>
        </row>
        <row r="346">
          <cell r="B346" t="str">
            <v>4093</v>
          </cell>
          <cell r="C346" t="str">
            <v>WM+ PTO Tổ 26A Hai Bà Trưng</v>
          </cell>
          <cell r="D346" t="str">
            <v>T. Phú Thọ</v>
          </cell>
          <cell r="E346" t="str">
            <v>TP. Việt Trì</v>
          </cell>
          <cell r="F346">
            <v>345</v>
          </cell>
          <cell r="H346" t="str">
            <v>WMP</v>
          </cell>
          <cell r="I346" t="str">
            <v>GHN</v>
          </cell>
        </row>
        <row r="347">
          <cell r="B347" t="str">
            <v>3464</v>
          </cell>
          <cell r="C347" t="str">
            <v>WM+ PTO Thành Công, Việt Trì</v>
          </cell>
          <cell r="D347" t="str">
            <v>T. Phú Thọ</v>
          </cell>
          <cell r="E347" t="str">
            <v>TP. Việt Trì</v>
          </cell>
          <cell r="F347">
            <v>346</v>
          </cell>
          <cell r="H347" t="str">
            <v>WMP</v>
          </cell>
          <cell r="I347" t="str">
            <v>GHN</v>
          </cell>
        </row>
        <row r="348">
          <cell r="B348" t="str">
            <v>6434</v>
          </cell>
          <cell r="C348" t="str">
            <v>WM+ PTO 107 Bạch Hạc</v>
          </cell>
          <cell r="D348" t="str">
            <v>T. Phú Thọ</v>
          </cell>
          <cell r="E348" t="str">
            <v>TP. Việt Trì</v>
          </cell>
          <cell r="F348">
            <v>347</v>
          </cell>
          <cell r="H348" t="str">
            <v>WMP</v>
          </cell>
          <cell r="I348" t="str">
            <v>GHN</v>
          </cell>
        </row>
        <row r="349">
          <cell r="B349" t="str">
            <v>2AU9</v>
          </cell>
          <cell r="C349" t="str">
            <v>WM+ PTO Băng 1, Nguyễn Tất Thành</v>
          </cell>
          <cell r="D349" t="str">
            <v>T. Phú Thọ</v>
          </cell>
          <cell r="E349" t="str">
            <v>TP. Việt Trì</v>
          </cell>
          <cell r="F349">
            <v>348</v>
          </cell>
          <cell r="H349" t="str">
            <v>WMP</v>
          </cell>
          <cell r="I349" t="str">
            <v>GHN</v>
          </cell>
        </row>
        <row r="350">
          <cell r="B350" t="str">
            <v>6179</v>
          </cell>
          <cell r="C350" t="str">
            <v>WM+ TQG 76 TDP Vĩnh Lim</v>
          </cell>
          <cell r="D350" t="str">
            <v>T. Tuyên Quang</v>
          </cell>
          <cell r="E350" t="str">
            <v>H. Chiêm Hóa</v>
          </cell>
          <cell r="F350">
            <v>349</v>
          </cell>
          <cell r="H350" t="str">
            <v>WMP</v>
          </cell>
          <cell r="I350" t="str">
            <v>SAFEFAST</v>
          </cell>
        </row>
        <row r="351">
          <cell r="B351" t="str">
            <v>6006</v>
          </cell>
          <cell r="C351" t="str">
            <v>WM+ TQG 11/9 Vĩnh Lộc, Chiêm Hóa</v>
          </cell>
          <cell r="D351" t="str">
            <v>T. Tuyên Quang</v>
          </cell>
          <cell r="E351" t="str">
            <v>H. Chiêm Hóa</v>
          </cell>
          <cell r="F351">
            <v>350</v>
          </cell>
          <cell r="H351" t="str">
            <v>WMP</v>
          </cell>
          <cell r="I351" t="str">
            <v>SAFEFAST</v>
          </cell>
        </row>
        <row r="352">
          <cell r="B352" t="str">
            <v>5782</v>
          </cell>
          <cell r="C352" t="str">
            <v>WM+ TQG TDP Tân Cương, Hàm Yên</v>
          </cell>
          <cell r="D352" t="str">
            <v>T. Tuyên Quang</v>
          </cell>
          <cell r="E352" t="str">
            <v>H. Hàm Yên</v>
          </cell>
          <cell r="F352">
            <v>351</v>
          </cell>
          <cell r="H352" t="str">
            <v>WMP</v>
          </cell>
          <cell r="I352" t="str">
            <v>SAFEFAST</v>
          </cell>
        </row>
        <row r="353">
          <cell r="B353" t="str">
            <v>5797</v>
          </cell>
          <cell r="C353" t="str">
            <v>WM+ TQG 292 TDP Tân Tiến, Tân Yên</v>
          </cell>
          <cell r="D353" t="str">
            <v>T. Tuyên Quang</v>
          </cell>
          <cell r="E353" t="str">
            <v>H. Hàm Yên</v>
          </cell>
          <cell r="F353">
            <v>352</v>
          </cell>
          <cell r="H353" t="str">
            <v>WMP</v>
          </cell>
          <cell r="I353" t="str">
            <v>SAFEFAST</v>
          </cell>
        </row>
        <row r="354">
          <cell r="B354" t="str">
            <v>5848</v>
          </cell>
          <cell r="C354" t="str">
            <v>WM+ TQG Thôn 31, Hàm Yên</v>
          </cell>
          <cell r="D354" t="str">
            <v>T. Tuyên Quang</v>
          </cell>
          <cell r="E354" t="str">
            <v>H. Hàm Yên</v>
          </cell>
          <cell r="F354">
            <v>353</v>
          </cell>
          <cell r="H354" t="str">
            <v>WMP</v>
          </cell>
          <cell r="I354" t="str">
            <v>SAFEFAST</v>
          </cell>
        </row>
        <row r="355">
          <cell r="B355" t="str">
            <v>6012</v>
          </cell>
          <cell r="C355" t="str">
            <v>WM+ TQG Làng Mãn 1, Hàm Yên</v>
          </cell>
          <cell r="D355" t="str">
            <v>T. Tuyên Quang</v>
          </cell>
          <cell r="E355" t="str">
            <v>H. Hàm Yên</v>
          </cell>
          <cell r="F355">
            <v>354</v>
          </cell>
          <cell r="H355" t="str">
            <v>WMP</v>
          </cell>
          <cell r="I355" t="str">
            <v>SAFEFAST</v>
          </cell>
        </row>
        <row r="356">
          <cell r="B356" t="str">
            <v>6053</v>
          </cell>
          <cell r="C356" t="str">
            <v>WM+ TQG TDP Lang Quán, Yên Sơn</v>
          </cell>
          <cell r="D356" t="str">
            <v>T. Tuyên Quang</v>
          </cell>
          <cell r="E356" t="str">
            <v>H. Yên Sơn</v>
          </cell>
          <cell r="F356">
            <v>355</v>
          </cell>
          <cell r="H356" t="str">
            <v>WMP</v>
          </cell>
          <cell r="I356" t="str">
            <v>SAFEFAST</v>
          </cell>
        </row>
        <row r="357">
          <cell r="B357" t="str">
            <v>5598</v>
          </cell>
          <cell r="C357" t="str">
            <v>WM+ TQG Xóm 8 xã Trung Môn</v>
          </cell>
          <cell r="D357" t="str">
            <v>T. Tuyên Quang</v>
          </cell>
          <cell r="E357" t="str">
            <v>H. Yên Sơn</v>
          </cell>
          <cell r="F357">
            <v>356</v>
          </cell>
          <cell r="H357" t="str">
            <v>WMP</v>
          </cell>
          <cell r="I357" t="str">
            <v>SAFEFAST</v>
          </cell>
        </row>
        <row r="358">
          <cell r="B358" t="str">
            <v>6819</v>
          </cell>
          <cell r="C358" t="str">
            <v>WM+ TQG 328 Trường Chinh</v>
          </cell>
          <cell r="D358" t="str">
            <v>T. Tuyên Quang</v>
          </cell>
          <cell r="E358" t="str">
            <v>TP. Tuyên Quang</v>
          </cell>
          <cell r="F358">
            <v>357</v>
          </cell>
          <cell r="H358" t="str">
            <v>WMP</v>
          </cell>
          <cell r="I358" t="str">
            <v>SAFEFAST</v>
          </cell>
        </row>
        <row r="359">
          <cell r="B359" t="str">
            <v>4666</v>
          </cell>
          <cell r="C359" t="str">
            <v>WM+ TQG 11 - 13 Trường Chinh</v>
          </cell>
          <cell r="D359" t="str">
            <v>T. Tuyên Quang</v>
          </cell>
          <cell r="E359" t="str">
            <v>TP. Tuyên Quang</v>
          </cell>
          <cell r="F359">
            <v>358</v>
          </cell>
          <cell r="H359" t="str">
            <v>WMP</v>
          </cell>
          <cell r="I359" t="str">
            <v>SAFEFAST</v>
          </cell>
        </row>
        <row r="360">
          <cell r="B360" t="str">
            <v>6028</v>
          </cell>
          <cell r="C360" t="str">
            <v>WM+ TQG 218 Lê Duẩn</v>
          </cell>
          <cell r="D360" t="str">
            <v>T. Tuyên Quang</v>
          </cell>
          <cell r="E360" t="str">
            <v>TP. Tuyên Quang</v>
          </cell>
          <cell r="F360">
            <v>359</v>
          </cell>
          <cell r="H360" t="str">
            <v>WMP</v>
          </cell>
          <cell r="I360" t="str">
            <v>SAFEFAST</v>
          </cell>
        </row>
        <row r="361">
          <cell r="B361" t="str">
            <v>4798</v>
          </cell>
          <cell r="C361" t="str">
            <v>WM+ TQG 10 Lê Duẩn P.Phan Thiết</v>
          </cell>
          <cell r="D361" t="str">
            <v>T. Tuyên Quang</v>
          </cell>
          <cell r="E361" t="str">
            <v>TP. Tuyên Quang</v>
          </cell>
          <cell r="F361">
            <v>360</v>
          </cell>
          <cell r="H361" t="str">
            <v>WMP</v>
          </cell>
          <cell r="I361" t="str">
            <v>SAFEFAST</v>
          </cell>
        </row>
        <row r="362">
          <cell r="B362" t="str">
            <v>1601</v>
          </cell>
          <cell r="C362" t="str">
            <v>WM VCP TQG Tuyên Quang</v>
          </cell>
          <cell r="D362" t="str">
            <v>T. Tuyên Quang</v>
          </cell>
          <cell r="E362" t="str">
            <v>TP. Tuyên Quang</v>
          </cell>
          <cell r="F362">
            <v>361</v>
          </cell>
          <cell r="H362" t="str">
            <v>WMP</v>
          </cell>
          <cell r="I362" t="str">
            <v>SAFEFAST</v>
          </cell>
        </row>
        <row r="363">
          <cell r="B363" t="str">
            <v>4586</v>
          </cell>
          <cell r="C363" t="str">
            <v>WM+ TQG Tổ 16 phường Tân Quang</v>
          </cell>
          <cell r="D363" t="str">
            <v>T. Tuyên Quang</v>
          </cell>
          <cell r="E363" t="str">
            <v>TP. Tuyên Quang</v>
          </cell>
          <cell r="F363">
            <v>362</v>
          </cell>
          <cell r="H363" t="str">
            <v>WMP</v>
          </cell>
          <cell r="I363" t="str">
            <v>SAFEFAST</v>
          </cell>
        </row>
        <row r="364">
          <cell r="B364" t="str">
            <v>2CGT</v>
          </cell>
          <cell r="C364" t="str">
            <v>WM+ TQG 99 Tân Trào</v>
          </cell>
          <cell r="D364" t="str">
            <v>T. Tuyên Quang</v>
          </cell>
          <cell r="E364" t="str">
            <v>TP. Tuyên Quang</v>
          </cell>
          <cell r="F364">
            <v>363</v>
          </cell>
          <cell r="H364" t="str">
            <v>WMP</v>
          </cell>
          <cell r="I364" t="str">
            <v>SAFEFAST</v>
          </cell>
        </row>
        <row r="365">
          <cell r="B365" t="str">
            <v>4596</v>
          </cell>
          <cell r="C365" t="str">
            <v>WM+ TQG 102 Phan Thiết</v>
          </cell>
          <cell r="D365" t="str">
            <v>T. Tuyên Quang</v>
          </cell>
          <cell r="E365" t="str">
            <v>TP. Tuyên Quang</v>
          </cell>
          <cell r="F365">
            <v>364</v>
          </cell>
          <cell r="H365" t="str">
            <v>WMP</v>
          </cell>
          <cell r="I365" t="str">
            <v>SAFEFAST</v>
          </cell>
        </row>
        <row r="366">
          <cell r="B366" t="str">
            <v>4815</v>
          </cell>
          <cell r="C366" t="str">
            <v>WM+ TQG 288 đường 17/8</v>
          </cell>
          <cell r="D366" t="str">
            <v>T. Tuyên Quang</v>
          </cell>
          <cell r="E366" t="str">
            <v>TP. Tuyên Quang</v>
          </cell>
          <cell r="F366">
            <v>365</v>
          </cell>
          <cell r="H366" t="str">
            <v>WMP</v>
          </cell>
          <cell r="I366" t="str">
            <v>SAFEFAST</v>
          </cell>
        </row>
        <row r="367">
          <cell r="B367" t="str">
            <v>5597</v>
          </cell>
          <cell r="C367" t="str">
            <v>WM+ TQG Tổ 4 Phường Nông Tiến</v>
          </cell>
          <cell r="D367" t="str">
            <v>T. Tuyên Quang</v>
          </cell>
          <cell r="E367" t="str">
            <v>TP. Tuyên Quang</v>
          </cell>
          <cell r="F367">
            <v>366</v>
          </cell>
          <cell r="H367" t="str">
            <v>WMP</v>
          </cell>
          <cell r="I367" t="str">
            <v>SAFEFAST</v>
          </cell>
        </row>
        <row r="368">
          <cell r="B368" t="str">
            <v>6335</v>
          </cell>
          <cell r="C368" t="str">
            <v>WM+ TQG 347 Phạm Văn Đồng</v>
          </cell>
          <cell r="D368" t="str">
            <v>T. Tuyên Quang</v>
          </cell>
          <cell r="E368" t="str">
            <v>TP. Tuyên Quang</v>
          </cell>
          <cell r="F368">
            <v>367</v>
          </cell>
          <cell r="H368" t="str">
            <v>WMP</v>
          </cell>
          <cell r="I368" t="str">
            <v>SAFEFAST</v>
          </cell>
        </row>
        <row r="369">
          <cell r="B369" t="str">
            <v>4690</v>
          </cell>
          <cell r="C369" t="str">
            <v>WM+ TQG Đức Hùng Plaza</v>
          </cell>
          <cell r="D369" t="str">
            <v>T. Tuyên Quang</v>
          </cell>
          <cell r="E369" t="str">
            <v>TP. Tuyên Quang</v>
          </cell>
          <cell r="F369">
            <v>368</v>
          </cell>
          <cell r="H369" t="str">
            <v>WMP</v>
          </cell>
          <cell r="I369" t="str">
            <v>SAFEFAST</v>
          </cell>
        </row>
        <row r="370">
          <cell r="B370" t="str">
            <v>5981</v>
          </cell>
          <cell r="C370" t="str">
            <v>WM+ TQG Thôn 4, Lưỡng Vượng</v>
          </cell>
          <cell r="D370" t="str">
            <v>T. Tuyên Quang</v>
          </cell>
          <cell r="E370" t="str">
            <v>TP. Tuyên Quang</v>
          </cell>
          <cell r="F370">
            <v>369</v>
          </cell>
          <cell r="H370" t="str">
            <v>WMP</v>
          </cell>
          <cell r="I370" t="str">
            <v>SAFEFAST</v>
          </cell>
        </row>
        <row r="371">
          <cell r="B371" t="str">
            <v>4711</v>
          </cell>
          <cell r="C371" t="str">
            <v>WM+ TQG Thôn 1 Đội Cấn</v>
          </cell>
          <cell r="D371" t="str">
            <v>T. Tuyên Quang</v>
          </cell>
          <cell r="E371" t="str">
            <v>TP. Tuyên Quang</v>
          </cell>
          <cell r="F371">
            <v>370</v>
          </cell>
          <cell r="H371" t="str">
            <v>WMP</v>
          </cell>
          <cell r="I371" t="str">
            <v>SAFEFAST</v>
          </cell>
        </row>
        <row r="372">
          <cell r="B372" t="str">
            <v>2BXI</v>
          </cell>
          <cell r="C372" t="str">
            <v>WM+ TQG 164 Tổ 9, Bình Thuận</v>
          </cell>
          <cell r="D372" t="str">
            <v>T. Tuyên Quang</v>
          </cell>
          <cell r="E372" t="str">
            <v>TP. Tuyên Quang</v>
          </cell>
          <cell r="F372">
            <v>371</v>
          </cell>
          <cell r="H372" t="str">
            <v>WMP</v>
          </cell>
          <cell r="I372" t="str">
            <v>SAFEFAST</v>
          </cell>
        </row>
        <row r="373">
          <cell r="B373" t="str">
            <v>2BSV</v>
          </cell>
          <cell r="C373" t="str">
            <v>WM+ TQG 205 Võ Chí Công</v>
          </cell>
          <cell r="D373" t="str">
            <v>T. Tuyên Quang</v>
          </cell>
          <cell r="E373" t="str">
            <v>TP. Tuyên Quang</v>
          </cell>
          <cell r="F373">
            <v>372</v>
          </cell>
          <cell r="H373" t="str">
            <v>WMP</v>
          </cell>
          <cell r="I373" t="str">
            <v>SAFEFAST</v>
          </cell>
        </row>
        <row r="374">
          <cell r="B374" t="str">
            <v>2CAV</v>
          </cell>
          <cell r="C374" t="str">
            <v>WM+ TQG Trung Môn 17, Minh Xuân</v>
          </cell>
          <cell r="D374" t="str">
            <v>T. Tuyên Quang</v>
          </cell>
          <cell r="E374" t="str">
            <v>TP. Tuyên Quang</v>
          </cell>
          <cell r="F374">
            <v>373</v>
          </cell>
          <cell r="H374" t="str">
            <v>WMP</v>
          </cell>
          <cell r="I374" t="str">
            <v>SAFEFAST</v>
          </cell>
        </row>
        <row r="375">
          <cell r="B375" t="str">
            <v>2BWM</v>
          </cell>
          <cell r="C375" t="str">
            <v>WM+ TQG 171 Nguyễn Chí Thanh</v>
          </cell>
          <cell r="D375" t="str">
            <v>T. Tuyên Quang</v>
          </cell>
          <cell r="E375" t="str">
            <v>TP. Tuyên Quang</v>
          </cell>
          <cell r="F375">
            <v>374</v>
          </cell>
          <cell r="H375" t="str">
            <v>WMP</v>
          </cell>
          <cell r="I375" t="str">
            <v>SAFEFAST</v>
          </cell>
        </row>
        <row r="376">
          <cell r="B376" t="str">
            <v>2ASR</v>
          </cell>
          <cell r="C376" t="str">
            <v>WM+ TQG Lập Thành, Mỹ Bằng</v>
          </cell>
          <cell r="D376" t="str">
            <v>T. Tuyên Quang</v>
          </cell>
          <cell r="E376" t="str">
            <v>H. Yên Sơn</v>
          </cell>
          <cell r="F376">
            <v>375</v>
          </cell>
          <cell r="H376" t="str">
            <v>WMP</v>
          </cell>
          <cell r="I376" t="str">
            <v>SAFEFAST</v>
          </cell>
        </row>
        <row r="377">
          <cell r="B377" t="str">
            <v>2BZS</v>
          </cell>
          <cell r="C377" t="str">
            <v>WM+ TQG Thôn Hòa Bình, Nhữ Khê</v>
          </cell>
          <cell r="D377" t="str">
            <v>T. Tuyên Quang</v>
          </cell>
          <cell r="E377" t="str">
            <v>H. Yên Sơn</v>
          </cell>
          <cell r="F377">
            <v>376</v>
          </cell>
          <cell r="H377" t="str">
            <v>WMP</v>
          </cell>
          <cell r="I377" t="str">
            <v>SAFEFAST</v>
          </cell>
        </row>
        <row r="378">
          <cell r="B378" t="str">
            <v>2BZZ</v>
          </cell>
          <cell r="C378" t="str">
            <v>WM+ TQG Sơn Hạ 4, Xuân Vân</v>
          </cell>
          <cell r="D378" t="str">
            <v>T. Tuyên Quang</v>
          </cell>
          <cell r="E378" t="str">
            <v>H. Yên Sơn</v>
          </cell>
          <cell r="F378">
            <v>377</v>
          </cell>
          <cell r="H378" t="str">
            <v>WMP</v>
          </cell>
          <cell r="I378" t="str">
            <v>SAFEFAST</v>
          </cell>
        </row>
        <row r="379">
          <cell r="B379" t="str">
            <v>2BTI</v>
          </cell>
          <cell r="C379" t="str">
            <v>WM+ TQG TDP Chè Đen 1</v>
          </cell>
          <cell r="D379" t="str">
            <v>T. Tuyên Quang</v>
          </cell>
          <cell r="E379" t="str">
            <v>H. Yên Sơn</v>
          </cell>
          <cell r="F379">
            <v>378</v>
          </cell>
          <cell r="H379" t="str">
            <v>WMP</v>
          </cell>
          <cell r="I379" t="str">
            <v>SAFEFAST</v>
          </cell>
        </row>
        <row r="380">
          <cell r="B380" t="str">
            <v>5982</v>
          </cell>
          <cell r="C380" t="str">
            <v>WM+ TQG Ấm Thắng, Sơn Dương</v>
          </cell>
          <cell r="D380" t="str">
            <v>T. Tuyên Quang</v>
          </cell>
          <cell r="E380" t="str">
            <v>H. Sơn Dương</v>
          </cell>
          <cell r="F380">
            <v>379</v>
          </cell>
          <cell r="H380" t="str">
            <v>WMP</v>
          </cell>
          <cell r="I380" t="str">
            <v>SAFEFAST</v>
          </cell>
        </row>
        <row r="381">
          <cell r="B381" t="str">
            <v>2CGV</v>
          </cell>
          <cell r="C381" t="str">
            <v>WM+ TQG Thôn Ninh Thuận, Sơn Thủy</v>
          </cell>
          <cell r="D381" t="str">
            <v>T. Tuyên Quang</v>
          </cell>
          <cell r="E381" t="str">
            <v>H. Sơn Dương</v>
          </cell>
          <cell r="F381">
            <v>380</v>
          </cell>
          <cell r="H381" t="str">
            <v>WMP</v>
          </cell>
          <cell r="I381" t="str">
            <v>SAFEFAST</v>
          </cell>
        </row>
        <row r="382">
          <cell r="B382" t="str">
            <v>2BWE</v>
          </cell>
          <cell r="C382" t="str">
            <v>WM+ TQG 24 Thôn Tân Tiến 1, Sơn Dương</v>
          </cell>
          <cell r="D382" t="str">
            <v>T. Tuyên Quang</v>
          </cell>
          <cell r="E382" t="str">
            <v>H. Sơn Dương</v>
          </cell>
          <cell r="F382">
            <v>381</v>
          </cell>
          <cell r="H382" t="str">
            <v>WMP</v>
          </cell>
          <cell r="I382" t="str">
            <v>SAFEFAST</v>
          </cell>
        </row>
        <row r="383">
          <cell r="B383" t="str">
            <v>2BXZ</v>
          </cell>
          <cell r="C383" t="str">
            <v>WM+ TQG Thôn Đồng Mụng, Hồng Sơn</v>
          </cell>
          <cell r="D383" t="str">
            <v>T. Tuyên Quang</v>
          </cell>
          <cell r="E383" t="str">
            <v>H. Sơn Dương</v>
          </cell>
          <cell r="F383">
            <v>382</v>
          </cell>
          <cell r="H383" t="str">
            <v>WMP</v>
          </cell>
          <cell r="I383" t="str">
            <v>SAFEFAST</v>
          </cell>
        </row>
        <row r="384">
          <cell r="B384" t="str">
            <v>5838</v>
          </cell>
          <cell r="C384" t="str">
            <v>WM+ TQG TDP Đoàn Kết, Sơn Dương</v>
          </cell>
          <cell r="D384" t="str">
            <v>T. Tuyên Quang</v>
          </cell>
          <cell r="E384" t="str">
            <v>H. Sơn Dương</v>
          </cell>
          <cell r="F384">
            <v>383</v>
          </cell>
          <cell r="H384" t="str">
            <v>WMP</v>
          </cell>
          <cell r="I384" t="str">
            <v>SAFEFAST</v>
          </cell>
        </row>
        <row r="385">
          <cell r="B385" t="str">
            <v>6218</v>
          </cell>
          <cell r="C385" t="str">
            <v>WM+ TQG 03 TDP Tân Bắc, Sơn Dương</v>
          </cell>
          <cell r="D385" t="str">
            <v>T. Tuyên Quang</v>
          </cell>
          <cell r="E385" t="str">
            <v>H. Sơn Dương</v>
          </cell>
          <cell r="F385">
            <v>384</v>
          </cell>
          <cell r="H385" t="str">
            <v>WMP</v>
          </cell>
          <cell r="I385" t="str">
            <v>SAFEFAST</v>
          </cell>
        </row>
        <row r="386">
          <cell r="B386" t="str">
            <v>6252</v>
          </cell>
          <cell r="C386" t="str">
            <v>WM+ TQG 24 TDP Quyết Tiến, Sơn Dương</v>
          </cell>
          <cell r="D386" t="str">
            <v>T. Tuyên Quang</v>
          </cell>
          <cell r="E386" t="str">
            <v>H. Sơn Dương</v>
          </cell>
          <cell r="F386">
            <v>385</v>
          </cell>
          <cell r="H386" t="str">
            <v>WMP</v>
          </cell>
          <cell r="I386" t="str">
            <v>SAFEFAST</v>
          </cell>
        </row>
        <row r="387">
          <cell r="B387" t="str">
            <v>2BVL</v>
          </cell>
          <cell r="C387" t="str">
            <v>WM+ TQG Thôn Cả, Tân Trào</v>
          </cell>
          <cell r="D387" t="str">
            <v>T. Tuyên Quang</v>
          </cell>
          <cell r="E387" t="str">
            <v>H. Sơn Dương</v>
          </cell>
          <cell r="F387">
            <v>386</v>
          </cell>
          <cell r="H387" t="str">
            <v>WMP</v>
          </cell>
          <cell r="I387" t="str">
            <v>SAFEFAST</v>
          </cell>
        </row>
        <row r="388">
          <cell r="B388" t="str">
            <v>2CAU</v>
          </cell>
          <cell r="C388" t="str">
            <v>WM+ TQG 86-88, Đường 13B, Quyết Thắng</v>
          </cell>
          <cell r="D388" t="str">
            <v>T. Tuyên Quang</v>
          </cell>
          <cell r="E388" t="str">
            <v>H. Sơn Dương</v>
          </cell>
          <cell r="F388">
            <v>387</v>
          </cell>
          <cell r="H388" t="str">
            <v>WMP</v>
          </cell>
          <cell r="I388" t="str">
            <v>SAFEFAST</v>
          </cell>
        </row>
        <row r="389">
          <cell r="B389" t="str">
            <v>6363</v>
          </cell>
          <cell r="C389" t="str">
            <v>WM+ YBI 93 Nguyễn Thái Học</v>
          </cell>
          <cell r="D389" t="str">
            <v>T. Yên Bái</v>
          </cell>
          <cell r="E389" t="str">
            <v>TX. Nghĩa Lộ</v>
          </cell>
          <cell r="F389">
            <v>388</v>
          </cell>
          <cell r="H389" t="str">
            <v>WMP</v>
          </cell>
          <cell r="I389" t="str">
            <v>HTVINA</v>
          </cell>
        </row>
        <row r="390">
          <cell r="B390" t="str">
            <v>6523</v>
          </cell>
          <cell r="C390" t="str">
            <v>WM+ YBI 55 Điện Biên</v>
          </cell>
          <cell r="D390" t="str">
            <v>T. Yên Bái</v>
          </cell>
          <cell r="E390" t="str">
            <v>TX. Nghĩa Lộ</v>
          </cell>
          <cell r="F390">
            <v>389</v>
          </cell>
          <cell r="H390" t="str">
            <v>WMP</v>
          </cell>
          <cell r="I390" t="str">
            <v>HTVINA</v>
          </cell>
        </row>
        <row r="391">
          <cell r="B391" t="str">
            <v>6471</v>
          </cell>
          <cell r="C391" t="str">
            <v>WM+ YBI TDP Trung Tâm, Văn Chấn</v>
          </cell>
          <cell r="D391" t="str">
            <v>T. Yên Bái</v>
          </cell>
          <cell r="E391" t="str">
            <v>H. Văn Chấn</v>
          </cell>
          <cell r="F391">
            <v>390</v>
          </cell>
          <cell r="H391" t="str">
            <v>WMP</v>
          </cell>
          <cell r="I391" t="str">
            <v>HTVINA</v>
          </cell>
        </row>
        <row r="392">
          <cell r="B392" t="str">
            <v>2CCK</v>
          </cell>
          <cell r="C392" t="str">
            <v>WM+ LCI Hồng Sơn, Văn Chấn</v>
          </cell>
          <cell r="D392" t="str">
            <v>T. Yên Bái</v>
          </cell>
          <cell r="E392" t="str">
            <v>H. Văn Chấn</v>
          </cell>
          <cell r="F392">
            <v>391</v>
          </cell>
          <cell r="H392" t="str">
            <v>WMP</v>
          </cell>
          <cell r="I392" t="str">
            <v>HTVINA</v>
          </cell>
        </row>
        <row r="393">
          <cell r="B393" t="str">
            <v>2CDJ</v>
          </cell>
          <cell r="C393" t="str">
            <v>WM+ LCI Thôn Mỵ, Chấn Thịnh</v>
          </cell>
          <cell r="D393" t="str">
            <v>T. Yên Bái</v>
          </cell>
          <cell r="E393" t="str">
            <v>H. Văn Chấn</v>
          </cell>
          <cell r="F393">
            <v>392</v>
          </cell>
          <cell r="H393" t="str">
            <v>WMP</v>
          </cell>
          <cell r="I393" t="str">
            <v>HTVINA</v>
          </cell>
        </row>
        <row r="394">
          <cell r="B394" t="str">
            <v>2AP3</v>
          </cell>
          <cell r="C394" t="str">
            <v>WM+ YBI 479 Yên Thịnh</v>
          </cell>
          <cell r="D394" t="str">
            <v>T. Yên Bái</v>
          </cell>
          <cell r="E394" t="str">
            <v>H. Văn Yên</v>
          </cell>
          <cell r="F394">
            <v>393</v>
          </cell>
          <cell r="H394" t="str">
            <v>WMP</v>
          </cell>
          <cell r="I394" t="str">
            <v>HTVINA</v>
          </cell>
        </row>
        <row r="395">
          <cell r="B395" t="str">
            <v>6297</v>
          </cell>
          <cell r="C395" t="str">
            <v>WM+ YBI 28 Tuệ Tĩnh</v>
          </cell>
          <cell r="D395" t="str">
            <v>T. Yên Bái</v>
          </cell>
          <cell r="E395" t="str">
            <v>H. Văn Yên</v>
          </cell>
          <cell r="F395">
            <v>394</v>
          </cell>
          <cell r="H395" t="str">
            <v>WMP</v>
          </cell>
          <cell r="I395" t="str">
            <v>HTVINA</v>
          </cell>
        </row>
        <row r="396">
          <cell r="B396" t="str">
            <v>2A79</v>
          </cell>
          <cell r="C396" t="str">
            <v>WM+ YBI 251 Lý Thường Kiệt</v>
          </cell>
          <cell r="D396" t="str">
            <v>T. Yên Bái</v>
          </cell>
          <cell r="E396" t="str">
            <v>H. Văn Yên</v>
          </cell>
          <cell r="F396">
            <v>395</v>
          </cell>
          <cell r="H396" t="str">
            <v>WMP</v>
          </cell>
          <cell r="I396" t="str">
            <v>HTVINA</v>
          </cell>
        </row>
        <row r="397">
          <cell r="B397" t="str">
            <v>2AI9</v>
          </cell>
          <cell r="C397" t="str">
            <v>WM+ YBI TDP 6, TT Yên Thế</v>
          </cell>
          <cell r="D397" t="str">
            <v>T. Yên Bái</v>
          </cell>
          <cell r="E397" t="str">
            <v>H. Lục Yên</v>
          </cell>
          <cell r="F397">
            <v>396</v>
          </cell>
          <cell r="H397" t="str">
            <v>WMP</v>
          </cell>
          <cell r="I397" t="str">
            <v>HTVINA</v>
          </cell>
        </row>
        <row r="398">
          <cell r="B398" t="str">
            <v>2A43</v>
          </cell>
          <cell r="C398" t="str">
            <v>WM+ YBI Đoàn Kết, Yên Bình</v>
          </cell>
          <cell r="D398" t="str">
            <v>T. Yên Bái</v>
          </cell>
          <cell r="E398" t="str">
            <v>H. Yên Bình</v>
          </cell>
          <cell r="F398">
            <v>397</v>
          </cell>
          <cell r="H398" t="str">
            <v>WMP</v>
          </cell>
          <cell r="I398" t="str">
            <v>HTVINA</v>
          </cell>
        </row>
        <row r="399">
          <cell r="B399" t="str">
            <v>4997</v>
          </cell>
          <cell r="C399" t="str">
            <v>WM+ YBI 352 Đường Đại Đồng-Yên Bình</v>
          </cell>
          <cell r="D399" t="str">
            <v>T. Yên Bái</v>
          </cell>
          <cell r="E399" t="str">
            <v>H. Yên Bình</v>
          </cell>
          <cell r="F399">
            <v>398</v>
          </cell>
          <cell r="H399" t="str">
            <v>WMP</v>
          </cell>
          <cell r="I399" t="str">
            <v>HTVINA</v>
          </cell>
        </row>
        <row r="400">
          <cell r="B400" t="str">
            <v>6914</v>
          </cell>
          <cell r="C400" t="str">
            <v>WM+ YBI 701 Đại Đồng</v>
          </cell>
          <cell r="D400" t="str">
            <v>T. Yên Bái</v>
          </cell>
          <cell r="E400" t="str">
            <v>H. Yên Bình</v>
          </cell>
          <cell r="F400">
            <v>399</v>
          </cell>
          <cell r="H400" t="str">
            <v>WMP</v>
          </cell>
          <cell r="I400" t="str">
            <v>HTVINA</v>
          </cell>
        </row>
        <row r="401">
          <cell r="B401" t="str">
            <v>4992</v>
          </cell>
          <cell r="C401" t="str">
            <v>WM+ YBI 1132 Đinh Tiên Hoàng</v>
          </cell>
          <cell r="D401" t="str">
            <v>T. Yên Bái</v>
          </cell>
          <cell r="E401" t="str">
            <v>H. Yên Bình</v>
          </cell>
          <cell r="F401">
            <v>400</v>
          </cell>
          <cell r="H401" t="str">
            <v>WMP</v>
          </cell>
          <cell r="I401" t="str">
            <v>HTVINA</v>
          </cell>
        </row>
        <row r="402">
          <cell r="B402" t="str">
            <v>2BTU</v>
          </cell>
          <cell r="C402" t="str">
            <v>WM+ LCI 59 Thôn Lương An</v>
          </cell>
          <cell r="D402" t="str">
            <v>T. Yên Bái</v>
          </cell>
          <cell r="E402" t="str">
            <v>H. Trấn Yên</v>
          </cell>
          <cell r="F402">
            <v>401</v>
          </cell>
          <cell r="H402" t="str">
            <v>WMP</v>
          </cell>
          <cell r="I402" t="str">
            <v>HTVINA</v>
          </cell>
        </row>
        <row r="403">
          <cell r="B403" t="str">
            <v>2BZD</v>
          </cell>
          <cell r="C403" t="str">
            <v>WM+ LCI Thôn Phố Hóp, Trấn Yên</v>
          </cell>
          <cell r="D403" t="str">
            <v>T. Yên Bái</v>
          </cell>
          <cell r="E403" t="str">
            <v>H. Trấn Yên</v>
          </cell>
          <cell r="F403">
            <v>402</v>
          </cell>
          <cell r="H403" t="str">
            <v>WMP</v>
          </cell>
          <cell r="I403" t="str">
            <v>HTVINA</v>
          </cell>
        </row>
        <row r="404">
          <cell r="B404" t="str">
            <v>6041</v>
          </cell>
          <cell r="C404" t="str">
            <v>WM+ YBI 486 Đinh Tiên Hoàng</v>
          </cell>
          <cell r="D404" t="str">
            <v>T. Yên Bái</v>
          </cell>
          <cell r="E404" t="str">
            <v>TP. Yên Bái</v>
          </cell>
          <cell r="F404">
            <v>403</v>
          </cell>
          <cell r="H404" t="str">
            <v>WMP</v>
          </cell>
          <cell r="I404" t="str">
            <v>HTVINA</v>
          </cell>
        </row>
        <row r="405">
          <cell r="B405" t="str">
            <v>4903</v>
          </cell>
          <cell r="C405" t="str">
            <v>WM+ YBI 142 Đinh Tiên Hoàng</v>
          </cell>
          <cell r="D405" t="str">
            <v>T. Yên Bái</v>
          </cell>
          <cell r="E405" t="str">
            <v>TP. Yên Bái</v>
          </cell>
          <cell r="F405">
            <v>404</v>
          </cell>
          <cell r="H405" t="str">
            <v>WMP</v>
          </cell>
          <cell r="I405" t="str">
            <v>HTVINA</v>
          </cell>
        </row>
        <row r="406">
          <cell r="B406" t="str">
            <v>2BVA</v>
          </cell>
          <cell r="C406" t="str">
            <v>WM+ LCI 211 Đinh Tiên Hoàng</v>
          </cell>
          <cell r="D406" t="str">
            <v>T. Yên Bái</v>
          </cell>
          <cell r="E406" t="str">
            <v>TP. Yên Bái</v>
          </cell>
          <cell r="F406">
            <v>405</v>
          </cell>
          <cell r="H406" t="str">
            <v>WMP</v>
          </cell>
          <cell r="I406" t="str">
            <v>HTVINA</v>
          </cell>
        </row>
        <row r="407">
          <cell r="B407" t="str">
            <v>6557</v>
          </cell>
          <cell r="C407" t="str">
            <v>WM+ YBI 111 Nguyễn Tất Thành</v>
          </cell>
          <cell r="D407" t="str">
            <v>T. Yên Bái</v>
          </cell>
          <cell r="E407" t="str">
            <v>TP. Yên Bái</v>
          </cell>
          <cell r="F407">
            <v>406</v>
          </cell>
          <cell r="H407" t="str">
            <v>WMP</v>
          </cell>
          <cell r="I407" t="str">
            <v>HTVINA</v>
          </cell>
        </row>
        <row r="408">
          <cell r="B408" t="str">
            <v>5003</v>
          </cell>
          <cell r="C408" t="str">
            <v>WM+ YBI Số 2 Quang Trung-Đồng Tâm</v>
          </cell>
          <cell r="D408" t="str">
            <v>T. Yên Bái</v>
          </cell>
          <cell r="E408" t="str">
            <v>TP. Yên Bái</v>
          </cell>
          <cell r="F408">
            <v>407</v>
          </cell>
          <cell r="H408" t="str">
            <v>WMP</v>
          </cell>
          <cell r="I408" t="str">
            <v>HTVINA</v>
          </cell>
        </row>
        <row r="409">
          <cell r="B409" t="str">
            <v>2AEU</v>
          </cell>
          <cell r="C409" t="str">
            <v>WM+ YBI 551 Điện Biên</v>
          </cell>
          <cell r="D409" t="str">
            <v>T. Yên Bái</v>
          </cell>
          <cell r="E409" t="str">
            <v>TP. Yên Bái</v>
          </cell>
          <cell r="F409">
            <v>408</v>
          </cell>
          <cell r="H409" t="str">
            <v>WMP</v>
          </cell>
          <cell r="I409" t="str">
            <v>HTVINA</v>
          </cell>
        </row>
        <row r="410">
          <cell r="B410" t="str">
            <v>5728</v>
          </cell>
          <cell r="C410" t="str">
            <v>WM+ YBI 1016 Yên Ninh</v>
          </cell>
          <cell r="D410" t="str">
            <v>T. Yên Bái</v>
          </cell>
          <cell r="E410" t="str">
            <v>TP. Yên Bái</v>
          </cell>
          <cell r="F410">
            <v>409</v>
          </cell>
          <cell r="H410" t="str">
            <v>WMP</v>
          </cell>
          <cell r="I410" t="str">
            <v>HTVINA</v>
          </cell>
        </row>
        <row r="411">
          <cell r="B411" t="str">
            <v>5898</v>
          </cell>
          <cell r="C411" t="str">
            <v>WM+ YBI 326 Điện Biên</v>
          </cell>
          <cell r="D411" t="str">
            <v>T. Yên Bái</v>
          </cell>
          <cell r="E411" t="str">
            <v>TP. Yên Bái</v>
          </cell>
          <cell r="F411">
            <v>410</v>
          </cell>
          <cell r="H411" t="str">
            <v>WMP</v>
          </cell>
          <cell r="I411" t="str">
            <v>HTVINA</v>
          </cell>
        </row>
        <row r="412">
          <cell r="B412" t="str">
            <v>6647</v>
          </cell>
          <cell r="C412" t="str">
            <v>WM+ YBI 64 Phạm Văn Đồng</v>
          </cell>
          <cell r="D412" t="str">
            <v>T. Yên Bái</v>
          </cell>
          <cell r="E412" t="str">
            <v>TP. Yên Bái</v>
          </cell>
          <cell r="F412">
            <v>411</v>
          </cell>
          <cell r="H412" t="str">
            <v>WMP</v>
          </cell>
          <cell r="I412" t="str">
            <v>HTVINA</v>
          </cell>
        </row>
        <row r="413">
          <cell r="B413" t="str">
            <v>6966</v>
          </cell>
          <cell r="C413" t="str">
            <v>WM+ YBI 385 Lê Hồng Phong</v>
          </cell>
          <cell r="D413" t="str">
            <v>T. Yên Bái</v>
          </cell>
          <cell r="E413" t="str">
            <v>TP. Yên Bái</v>
          </cell>
          <cell r="F413">
            <v>412</v>
          </cell>
          <cell r="H413" t="str">
            <v>WMP</v>
          </cell>
          <cell r="I413" t="str">
            <v>HTVINA</v>
          </cell>
        </row>
        <row r="414">
          <cell r="B414" t="str">
            <v>4916</v>
          </cell>
          <cell r="C414" t="str">
            <v>WM+ YBI 12 Lê Hồng Phong</v>
          </cell>
          <cell r="D414" t="str">
            <v>T. Yên Bái</v>
          </cell>
          <cell r="E414" t="str">
            <v>TP. Yên Bái</v>
          </cell>
          <cell r="F414">
            <v>413</v>
          </cell>
          <cell r="H414" t="str">
            <v>WMP</v>
          </cell>
          <cell r="I414" t="str">
            <v>HTVINA</v>
          </cell>
        </row>
        <row r="415">
          <cell r="B415" t="str">
            <v>1594</v>
          </cell>
          <cell r="C415" t="str">
            <v>WM VCP YBI Yên Bái</v>
          </cell>
          <cell r="D415" t="str">
            <v>T. Yên Bái</v>
          </cell>
          <cell r="E415" t="str">
            <v>TP. Yên Bái</v>
          </cell>
          <cell r="F415">
            <v>414</v>
          </cell>
          <cell r="H415" t="str">
            <v>WMP</v>
          </cell>
          <cell r="I415" t="str">
            <v>HTVINA</v>
          </cell>
        </row>
        <row r="416">
          <cell r="B416" t="str">
            <v>5726</v>
          </cell>
          <cell r="C416" t="str">
            <v>WM+ YBI 525 Đại Lộ Nguyễn Thái Học</v>
          </cell>
          <cell r="D416" t="str">
            <v>T. Yên Bái</v>
          </cell>
          <cell r="E416" t="str">
            <v>TP. Yên Bái</v>
          </cell>
          <cell r="F416">
            <v>415</v>
          </cell>
          <cell r="H416" t="str">
            <v>WMP</v>
          </cell>
          <cell r="I416" t="str">
            <v>HTVINA</v>
          </cell>
        </row>
        <row r="417">
          <cell r="B417" t="str">
            <v>5100</v>
          </cell>
          <cell r="C417" t="str">
            <v>WM+ YBI 102 Đại Lộ Nguyễn Thái Học</v>
          </cell>
          <cell r="D417" t="str">
            <v>T. Yên Bái</v>
          </cell>
          <cell r="E417" t="str">
            <v>TP. Yên Bái</v>
          </cell>
          <cell r="F417">
            <v>416</v>
          </cell>
          <cell r="H417" t="str">
            <v>WMP</v>
          </cell>
          <cell r="I417" t="str">
            <v>HTVINA</v>
          </cell>
        </row>
        <row r="418">
          <cell r="B418" t="str">
            <v>4993</v>
          </cell>
          <cell r="C418" t="str">
            <v>WM+ YBI 150A Đường Hoàng Hoa Thám</v>
          </cell>
          <cell r="D418" t="str">
            <v>T. Yên Bái</v>
          </cell>
          <cell r="E418" t="str">
            <v>TP. Yên Bái</v>
          </cell>
          <cell r="F418">
            <v>417</v>
          </cell>
          <cell r="H418" t="str">
            <v>WMP</v>
          </cell>
          <cell r="I418" t="str">
            <v>HTVINA</v>
          </cell>
        </row>
        <row r="419">
          <cell r="B419" t="str">
            <v>2AIV</v>
          </cell>
          <cell r="C419" t="str">
            <v>WM+ YBI 070 Ngô Minh Loan</v>
          </cell>
          <cell r="D419" t="str">
            <v>T. Yên Bái</v>
          </cell>
          <cell r="E419" t="str">
            <v>TP. Yên Bái</v>
          </cell>
          <cell r="F419">
            <v>418</v>
          </cell>
          <cell r="H419" t="str">
            <v>WMP</v>
          </cell>
          <cell r="I419" t="str">
            <v>HTVINA</v>
          </cell>
        </row>
        <row r="420">
          <cell r="B420" t="str">
            <v>2BJV</v>
          </cell>
          <cell r="C420" t="str">
            <v>WM+ LCI Minh Thân, Thác Bà</v>
          </cell>
          <cell r="D420" t="str">
            <v>T. Yên Bái</v>
          </cell>
          <cell r="E420" t="str">
            <v>TT. Thác Bà</v>
          </cell>
          <cell r="F420">
            <v>419</v>
          </cell>
          <cell r="H420" t="str">
            <v>WMP</v>
          </cell>
          <cell r="I420" t="str">
            <v>HTVINA</v>
          </cell>
        </row>
        <row r="421">
          <cell r="B421" t="str">
            <v>2ADH</v>
          </cell>
          <cell r="C421" t="str">
            <v>WM+ DBN 175 Tổ 2, Na Lay</v>
          </cell>
          <cell r="D421" t="str">
            <v>T. Điện Biên</v>
          </cell>
          <cell r="E421" t="str">
            <v>TX. Mường Lay</v>
          </cell>
          <cell r="F421">
            <v>420</v>
          </cell>
          <cell r="H421" t="str">
            <v>WMP</v>
          </cell>
          <cell r="I421" t="str">
            <v>VIETTEL</v>
          </cell>
        </row>
        <row r="422">
          <cell r="B422" t="str">
            <v>2BOU</v>
          </cell>
          <cell r="C422" t="str">
            <v>WM+ DBN Tổ 5, Na Sang</v>
          </cell>
          <cell r="D422" t="str">
            <v>T. Điện Biên</v>
          </cell>
          <cell r="E422" t="str">
            <v>H. Mường Chà</v>
          </cell>
          <cell r="F422">
            <v>421</v>
          </cell>
          <cell r="H422" t="str">
            <v>WMP</v>
          </cell>
          <cell r="I422" t="str">
            <v>VIETTEL</v>
          </cell>
        </row>
        <row r="423">
          <cell r="B423" t="str">
            <v>6578</v>
          </cell>
          <cell r="C423" t="str">
            <v>WM+ DBN 336 Tổ 7, Thanh Bình</v>
          </cell>
          <cell r="D423" t="str">
            <v>T. Điện Biên</v>
          </cell>
          <cell r="E423" t="str">
            <v>H. Điện Biên</v>
          </cell>
          <cell r="F423">
            <v>422</v>
          </cell>
          <cell r="H423" t="str">
            <v>WMP</v>
          </cell>
          <cell r="I423" t="str">
            <v>VIETTEL</v>
          </cell>
        </row>
        <row r="424">
          <cell r="B424" t="str">
            <v>2AKA</v>
          </cell>
          <cell r="C424" t="str">
            <v>WM+ DBN Thôn 4, Pom Lót</v>
          </cell>
          <cell r="D424" t="str">
            <v>T. Điện Biên</v>
          </cell>
          <cell r="E424" t="str">
            <v>H. Điện Biên</v>
          </cell>
          <cell r="F424">
            <v>423</v>
          </cell>
          <cell r="H424" t="str">
            <v>WMP</v>
          </cell>
          <cell r="I424" t="str">
            <v>VIETTEL</v>
          </cell>
        </row>
        <row r="425">
          <cell r="B425" t="str">
            <v>6294</v>
          </cell>
          <cell r="C425" t="str">
            <v>WM+ DBN Thôn 24 Noong Hẹt</v>
          </cell>
          <cell r="D425" t="str">
            <v>T. Điện Biên</v>
          </cell>
          <cell r="E425" t="str">
            <v>H. Điện Biên</v>
          </cell>
          <cell r="F425">
            <v>424</v>
          </cell>
          <cell r="H425" t="str">
            <v>WMP</v>
          </cell>
          <cell r="I425" t="str">
            <v>VIETTEL</v>
          </cell>
        </row>
        <row r="426">
          <cell r="B426" t="str">
            <v>6296</v>
          </cell>
          <cell r="C426" t="str">
            <v>WM+ DBN Tổ 7 Nam Thanh</v>
          </cell>
          <cell r="D426" t="str">
            <v>T. Điện Biên</v>
          </cell>
          <cell r="E426" t="str">
            <v>TP. Điện Biên Phủ</v>
          </cell>
          <cell r="F426">
            <v>425</v>
          </cell>
          <cell r="H426" t="str">
            <v>WMP</v>
          </cell>
          <cell r="I426" t="str">
            <v>VIETTEL</v>
          </cell>
        </row>
        <row r="427">
          <cell r="B427" t="str">
            <v>6298</v>
          </cell>
          <cell r="C427" t="str">
            <v>WM+ DBN 27 Trường Chinh</v>
          </cell>
          <cell r="D427" t="str">
            <v>T. Điện Biên</v>
          </cell>
          <cell r="E427" t="str">
            <v>TP. Điện Biên Phủ</v>
          </cell>
          <cell r="F427">
            <v>426</v>
          </cell>
          <cell r="H427" t="str">
            <v>WMP</v>
          </cell>
          <cell r="I427" t="str">
            <v>VIETTEL</v>
          </cell>
        </row>
        <row r="428">
          <cell r="B428" t="str">
            <v>6292</v>
          </cell>
          <cell r="C428" t="str">
            <v>WM+ DBN Tổ 6 Noong Bua</v>
          </cell>
          <cell r="D428" t="str">
            <v>T. Điện Biên</v>
          </cell>
          <cell r="E428" t="str">
            <v>TP. Điện Biên Phủ</v>
          </cell>
          <cell r="F428">
            <v>427</v>
          </cell>
          <cell r="H428" t="str">
            <v>WMP</v>
          </cell>
          <cell r="I428" t="str">
            <v>VIETTEL</v>
          </cell>
        </row>
        <row r="429">
          <cell r="B429" t="str">
            <v>6287</v>
          </cell>
          <cell r="C429" t="str">
            <v>WM+ DBN 310 Trường Chinh</v>
          </cell>
          <cell r="D429" t="str">
            <v>T. Điện Biên</v>
          </cell>
          <cell r="E429" t="str">
            <v>H. Điện Biên</v>
          </cell>
          <cell r="F429">
            <v>428</v>
          </cell>
          <cell r="H429" t="str">
            <v>WMP</v>
          </cell>
          <cell r="I429" t="str">
            <v>VIETTEL</v>
          </cell>
        </row>
        <row r="430">
          <cell r="B430" t="str">
            <v>6310</v>
          </cell>
          <cell r="C430" t="str">
            <v>WM+ DBN 310 Tổ 9 Him Lam</v>
          </cell>
          <cell r="D430" t="str">
            <v>T. Điện Biên</v>
          </cell>
          <cell r="E430" t="str">
            <v>H. Điện Biên</v>
          </cell>
          <cell r="F430">
            <v>429</v>
          </cell>
          <cell r="H430" t="str">
            <v>WMP</v>
          </cell>
          <cell r="I430" t="str">
            <v>VIETTEL</v>
          </cell>
        </row>
        <row r="431">
          <cell r="B431" t="str">
            <v>2BPA</v>
          </cell>
          <cell r="C431" t="str">
            <v>WM+ DBN Trung Tâm 1, Nà Tấu</v>
          </cell>
          <cell r="D431" t="str">
            <v>T. Điện Biên</v>
          </cell>
          <cell r="E431" t="str">
            <v>TP. Điện Biên Phủ</v>
          </cell>
          <cell r="F431">
            <v>430</v>
          </cell>
          <cell r="H431" t="str">
            <v>WMP</v>
          </cell>
          <cell r="I431" t="str">
            <v>VIETTEL</v>
          </cell>
        </row>
        <row r="432">
          <cell r="B432" t="str">
            <v>2ADI</v>
          </cell>
          <cell r="C432" t="str">
            <v>WM+ DBN Đồng Tâm, Tủa Chùa</v>
          </cell>
          <cell r="D432" t="str">
            <v>T. Điện Biên</v>
          </cell>
          <cell r="E432" t="str">
            <v>H. Tủa Chùa</v>
          </cell>
          <cell r="F432">
            <v>431</v>
          </cell>
          <cell r="H432" t="str">
            <v>WMP</v>
          </cell>
          <cell r="I432" t="str">
            <v>VIETTEL</v>
          </cell>
        </row>
        <row r="433">
          <cell r="B433" t="str">
            <v>6724</v>
          </cell>
          <cell r="C433" t="str">
            <v>WM+ DBN Tân Thủy, Tuần Giáo</v>
          </cell>
          <cell r="D433" t="str">
            <v>T. Điện Biên</v>
          </cell>
          <cell r="E433" t="str">
            <v>H. Tuần Giáo</v>
          </cell>
          <cell r="F433">
            <v>432</v>
          </cell>
          <cell r="H433" t="str">
            <v>WMP</v>
          </cell>
          <cell r="I433" t="str">
            <v>VIETTEL</v>
          </cell>
        </row>
        <row r="434">
          <cell r="B434" t="str">
            <v>6397</v>
          </cell>
          <cell r="C434" t="str">
            <v>WM+ SLA Tông Lạnh, Thuận Châu</v>
          </cell>
          <cell r="D434" t="str">
            <v>T. Điện Biên</v>
          </cell>
          <cell r="E434" t="str">
            <v>H. Tuần Giáo</v>
          </cell>
          <cell r="F434">
            <v>433</v>
          </cell>
          <cell r="H434" t="str">
            <v>WMP</v>
          </cell>
          <cell r="I434" t="str">
            <v>VIETTEL</v>
          </cell>
        </row>
        <row r="435">
          <cell r="B435" t="str">
            <v>2BXT</v>
          </cell>
          <cell r="C435" t="str">
            <v>WM+ SLA Bản Kiến Xương, Bình Thuận</v>
          </cell>
          <cell r="D435" t="str">
            <v>T. Điện Biên</v>
          </cell>
          <cell r="E435" t="str">
            <v>H. Thuận Châu</v>
          </cell>
          <cell r="F435">
            <v>434</v>
          </cell>
          <cell r="H435" t="str">
            <v>WMP</v>
          </cell>
          <cell r="I435" t="str">
            <v>VIETTEL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BB94-14E0-4570-B611-14EE9D982708}">
  <dimension ref="A1:AG90"/>
  <sheetViews>
    <sheetView tabSelected="1" zoomScale="96" zoomScaleNormal="96" workbookViewId="0">
      <pane ySplit="1" topLeftCell="A2" activePane="bottomLeft" state="frozen"/>
      <selection activeCell="J16" sqref="J16"/>
      <selection pane="bottomLeft" activeCell="I4" sqref="I4"/>
    </sheetView>
  </sheetViews>
  <sheetFormatPr defaultColWidth="8.7265625" defaultRowHeight="14.5" x14ac:dyDescent="0.35"/>
  <cols>
    <col min="1" max="1" width="8.7265625" style="1"/>
    <col min="2" max="2" width="10.54296875" style="1" customWidth="1"/>
    <col min="3" max="3" width="19.26953125" style="1" customWidth="1"/>
    <col min="4" max="4" width="17.7265625" style="1" customWidth="1"/>
    <col min="5" max="5" width="10" style="1" customWidth="1"/>
    <col min="6" max="6" width="26.26953125" style="1" customWidth="1"/>
    <col min="7" max="8" width="8.54296875" style="1" customWidth="1"/>
    <col min="9" max="9" width="18.54296875" style="1" customWidth="1"/>
    <col min="10" max="10" width="10" style="1" customWidth="1"/>
    <col min="11" max="11" width="8.81640625" style="1" customWidth="1"/>
    <col min="12" max="12" width="13.7265625" style="1" customWidth="1"/>
    <col min="13" max="13" width="15.7265625" style="1" customWidth="1"/>
    <col min="14" max="14" width="8.7265625" style="1"/>
    <col min="15" max="15" width="10.26953125" style="1" customWidth="1"/>
    <col min="16" max="16" width="8.26953125" style="1" customWidth="1"/>
    <col min="17" max="18" width="8.7265625" style="1"/>
    <col min="19" max="19" width="10" style="1" customWidth="1"/>
    <col min="20" max="20" width="10.81640625" style="1" customWidth="1"/>
    <col min="21" max="21" width="11" style="1" bestFit="1" customWidth="1"/>
    <col min="22" max="22" width="10" style="1" customWidth="1"/>
    <col min="23" max="23" width="9.1796875" style="1" customWidth="1"/>
    <col min="24" max="25" width="8.7265625" style="1"/>
    <col min="26" max="26" width="11.1796875" style="1" customWidth="1"/>
    <col min="27" max="27" width="15.81640625" style="1" customWidth="1"/>
    <col min="28" max="28" width="12.453125" style="1" customWidth="1"/>
    <col min="29" max="29" width="8.7265625" style="6"/>
    <col min="30" max="30" width="9.7265625" style="6" bestFit="1" customWidth="1"/>
    <col min="31" max="31" width="20.1796875" style="6" bestFit="1" customWidth="1"/>
    <col min="32" max="32" width="12.26953125" style="6" bestFit="1" customWidth="1"/>
    <col min="33" max="16384" width="8.7265625" style="6"/>
  </cols>
  <sheetData>
    <row r="1" spans="1:33" s="19" customFormat="1" ht="32.65" customHeigh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330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7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  <c r="AC1" s="16" t="s">
        <v>27</v>
      </c>
      <c r="AD1" s="16" t="s">
        <v>309</v>
      </c>
      <c r="AE1" s="16" t="s">
        <v>310</v>
      </c>
      <c r="AF1" s="16" t="s">
        <v>311</v>
      </c>
      <c r="AG1" s="18" t="s">
        <v>312</v>
      </c>
    </row>
    <row r="2" spans="1:33" x14ac:dyDescent="0.35">
      <c r="A2" s="1">
        <f ca="1">IF(B2="","",COUNTA($B$2:B2))</f>
        <v>1</v>
      </c>
      <c r="B2" s="2">
        <f t="shared" ref="B2:B65" ca="1" si="0">TODAY()+1</f>
        <v>46193</v>
      </c>
      <c r="C2" s="9" t="s">
        <v>31</v>
      </c>
      <c r="D2" s="9" t="s">
        <v>32</v>
      </c>
      <c r="E2" s="9" t="s">
        <v>33</v>
      </c>
      <c r="F2" s="9" t="s">
        <v>34</v>
      </c>
      <c r="G2" s="9">
        <v>221</v>
      </c>
      <c r="H2" s="9">
        <v>13</v>
      </c>
      <c r="I2" s="10">
        <f>IF(COUNTIF($N$2:N2,N2)=1,
SUMIFS($G:$G,$N:$N,N2),
"")</f>
        <v>3322</v>
      </c>
      <c r="J2" s="10">
        <f t="shared" ref="J2:J7" si="1">IF(E2&lt;&gt;E1,SUMIF(E:E,E2,Y:Y)," ")</f>
        <v>147.92494444444446</v>
      </c>
      <c r="K2" s="11">
        <f t="shared" ref="K2:K7" si="2">IF(E2&lt;&gt;E1,SUMIF(E:E,E2,Z:Z)," ")</f>
        <v>0.48009694884644172</v>
      </c>
      <c r="L2" s="9" t="s">
        <v>35</v>
      </c>
      <c r="M2" s="9" t="s">
        <v>36</v>
      </c>
      <c r="N2" s="9">
        <v>19061916</v>
      </c>
      <c r="O2" s="12">
        <v>0.33333333333333331</v>
      </c>
      <c r="P2" s="13" t="str">
        <f t="shared" ref="P2:P65" si="3">IF(R2="","",COUNTIFS($N:$N,N2,$X:$X,"1"))</f>
        <v/>
      </c>
      <c r="Q2" s="13" t="s">
        <v>28</v>
      </c>
      <c r="R2" s="9"/>
      <c r="S2" s="9" t="s">
        <v>29</v>
      </c>
      <c r="T2" s="9"/>
      <c r="U2" s="13" t="str">
        <f t="shared" ref="U2:U52" si="4">IF(OR(R2="", N2="", O2=""), "", "LOT SAU KHOẢNG " &amp; TEXT(IF(R2=5, O2+TIME(2,0,0), IF(OR(R2=7, R2=8), O2+TIME(2,48,0), IF(R2=10, O2+TIME(3,48,0), O2))), "hh:mm"))</f>
        <v/>
      </c>
      <c r="V2" s="9" t="s">
        <v>324</v>
      </c>
      <c r="W2" s="9" t="str">
        <f>VLOOKUP(E2,'[1]CH DCPT CẤP HÀNG'!$B:$I,8,0)</f>
        <v>GHN</v>
      </c>
      <c r="X2" s="13">
        <f>IF(COUNTIFS($N$2:$N2,N2,$E$2:$E2,E2)=1,1,0)</f>
        <v>1</v>
      </c>
      <c r="Y2" s="13">
        <v>142.68494444444445</v>
      </c>
      <c r="Z2" s="13">
        <v>0.43765598730798017</v>
      </c>
      <c r="AA2" s="13">
        <f>IF(COUNTIF(L$2:L2,L2)=1,SUMIF(L:L,L2,I:I)/SUMIF(L:L,L2,X:X),"")</f>
        <v>388.63829787234044</v>
      </c>
      <c r="AB2" s="13">
        <f>IF(COUNTIF($N$2:N2,N2)=1, SUMIF(N:N,N2,Y:Y), "")</f>
        <v>2005.6707682539686</v>
      </c>
      <c r="AC2" s="13">
        <f>IF(COUNTIF($N$2:N2,N2)=1, SUMIF(N:N,N2,Z:Z), "")</f>
        <v>6.8278754335080949</v>
      </c>
      <c r="AD2" s="14" t="s">
        <v>318</v>
      </c>
      <c r="AE2" s="14" t="s">
        <v>319</v>
      </c>
      <c r="AF2" s="15" t="s">
        <v>320</v>
      </c>
      <c r="AG2" s="14" t="s">
        <v>316</v>
      </c>
    </row>
    <row r="3" spans="1:33" x14ac:dyDescent="0.35">
      <c r="A3" s="1">
        <f ca="1">IF(B3="","",COUNTA($B$2:B3))</f>
        <v>2</v>
      </c>
      <c r="B3" s="2">
        <f t="shared" ca="1" si="0"/>
        <v>46193</v>
      </c>
      <c r="C3" s="1" t="s">
        <v>37</v>
      </c>
      <c r="D3" s="1" t="s">
        <v>38</v>
      </c>
      <c r="E3" s="1" t="s">
        <v>33</v>
      </c>
      <c r="F3" s="1" t="s">
        <v>34</v>
      </c>
      <c r="G3" s="1">
        <v>54</v>
      </c>
      <c r="H3" s="9">
        <v>2</v>
      </c>
      <c r="I3" s="7" t="str">
        <f>IF(COUNTIF($N$2:N3,N3)=1,
SUMIFS($G:$G,$N:$N,N3),
"")</f>
        <v/>
      </c>
      <c r="J3" s="7" t="str">
        <f t="shared" si="1"/>
        <v xml:space="preserve"> </v>
      </c>
      <c r="K3" s="4" t="str">
        <f t="shared" si="2"/>
        <v xml:space="preserve"> </v>
      </c>
      <c r="L3" s="1" t="s">
        <v>35</v>
      </c>
      <c r="M3" s="1" t="s">
        <v>36</v>
      </c>
      <c r="N3" s="9">
        <v>19061916</v>
      </c>
      <c r="O3" s="12">
        <v>0.33333333333333331</v>
      </c>
      <c r="P3" s="8" t="str">
        <f t="shared" si="3"/>
        <v/>
      </c>
      <c r="Q3" s="8" t="s">
        <v>28</v>
      </c>
      <c r="S3" s="1" t="s">
        <v>29</v>
      </c>
      <c r="U3" s="8" t="str">
        <f t="shared" si="4"/>
        <v/>
      </c>
      <c r="W3" s="1" t="str">
        <f>VLOOKUP(E3,'[1]CH DCPT CẤP HÀNG'!$B:$I,8,0)</f>
        <v>GHN</v>
      </c>
      <c r="X3" s="8">
        <f>IF(COUNTIFS($N$2:$N3,N3,$E$2:$E3,E3)=1,1,0)</f>
        <v>0</v>
      </c>
      <c r="Y3" s="8">
        <v>5.24</v>
      </c>
      <c r="Z3" s="8">
        <v>4.2440961538461545E-2</v>
      </c>
      <c r="AA3" s="8" t="str">
        <f>IF(COUNTIF(L$2:L3,L3)=1,SUMIF(L:L,L3,I:I)/SUMIF(L:L,L3,X:X),"")</f>
        <v/>
      </c>
      <c r="AB3" s="8" t="str">
        <f>IF(COUNTIF($N$2:N3,N3)=1, SUMIF(N:N,N3,Y:Y), "")</f>
        <v/>
      </c>
      <c r="AC3" s="8" t="str">
        <f>IF(COUNTIF($N$2:N3,N3)=1, SUMIF(N:N,N3,Z:Z), "")</f>
        <v/>
      </c>
    </row>
    <row r="4" spans="1:33" x14ac:dyDescent="0.35">
      <c r="A4" s="1">
        <f ca="1">IF(B4="","",COUNTA($B$2:B4))</f>
        <v>3</v>
      </c>
      <c r="B4" s="2">
        <f t="shared" ca="1" si="0"/>
        <v>46193</v>
      </c>
      <c r="C4" s="1" t="s">
        <v>39</v>
      </c>
      <c r="D4" s="1" t="s">
        <v>40</v>
      </c>
      <c r="E4" s="1" t="s">
        <v>41</v>
      </c>
      <c r="F4" s="1" t="s">
        <v>42</v>
      </c>
      <c r="G4" s="1">
        <v>227</v>
      </c>
      <c r="H4" s="9">
        <v>15</v>
      </c>
      <c r="I4" s="3" t="str">
        <f>IF(COUNTIF($N$2:N4,N4)=1,
SUMIFS($G:$G,$N:$N,N4),
"")</f>
        <v/>
      </c>
      <c r="J4" s="3">
        <f t="shared" si="1"/>
        <v>247.07340000000005</v>
      </c>
      <c r="K4" s="4">
        <f t="shared" si="2"/>
        <v>0.68515983933765923</v>
      </c>
      <c r="L4" s="1" t="s">
        <v>35</v>
      </c>
      <c r="M4" s="1" t="s">
        <v>36</v>
      </c>
      <c r="N4" s="9">
        <v>19061916</v>
      </c>
      <c r="O4" s="12">
        <v>0.33333333333333331</v>
      </c>
      <c r="P4" s="5" t="str">
        <f t="shared" si="3"/>
        <v/>
      </c>
      <c r="Q4" s="5" t="s">
        <v>28</v>
      </c>
      <c r="S4" s="1" t="s">
        <v>29</v>
      </c>
      <c r="U4" s="5" t="str">
        <f t="shared" si="4"/>
        <v/>
      </c>
      <c r="W4" s="1" t="str">
        <f>VLOOKUP(E4,'[1]CH DCPT CẤP HÀNG'!$B:$I,8,0)</f>
        <v>GHN</v>
      </c>
      <c r="X4" s="5">
        <f>IF(COUNTIFS($N$2:$N4,N4,$E$2:$E4,E4)=1,1,0)</f>
        <v>1</v>
      </c>
      <c r="Y4" s="5">
        <v>127.23540000000003</v>
      </c>
      <c r="Z4" s="5">
        <v>0.51145761640059628</v>
      </c>
      <c r="AA4" s="5" t="str">
        <f>IF(COUNTIF(L$2:L4,L4)=1,SUMIF(L:L,L4,I:I)/SUMIF(L:L,L4,X:X),"")</f>
        <v/>
      </c>
      <c r="AB4" s="5" t="str">
        <f>IF(COUNTIF($N$2:N4,N4)=1, SUMIF(N:N,N4,Y:Y), "")</f>
        <v/>
      </c>
      <c r="AC4" s="5" t="str">
        <f>IF(COUNTIF($N$2:N4,N4)=1, SUMIF(N:N,N4,Z:Z), "")</f>
        <v/>
      </c>
    </row>
    <row r="5" spans="1:33" x14ac:dyDescent="0.35">
      <c r="A5" s="1">
        <f ca="1">IF(B5="","",COUNTA($B$2:B5))</f>
        <v>4</v>
      </c>
      <c r="B5" s="2">
        <f t="shared" ca="1" si="0"/>
        <v>46193</v>
      </c>
      <c r="C5" s="1" t="s">
        <v>43</v>
      </c>
      <c r="D5" s="1" t="s">
        <v>44</v>
      </c>
      <c r="E5" s="1" t="s">
        <v>41</v>
      </c>
      <c r="F5" s="1" t="s">
        <v>42</v>
      </c>
      <c r="G5" s="1">
        <v>216</v>
      </c>
      <c r="H5" s="9">
        <v>7</v>
      </c>
      <c r="I5" s="3" t="str">
        <f>IF(COUNTIF($N$2:N5,N5)=1,
SUMIFS($G:$G,$N:$N,N5),
"")</f>
        <v/>
      </c>
      <c r="J5" s="3" t="str">
        <f t="shared" si="1"/>
        <v xml:space="preserve"> </v>
      </c>
      <c r="K5" s="4" t="str">
        <f t="shared" si="2"/>
        <v xml:space="preserve"> </v>
      </c>
      <c r="L5" s="1" t="s">
        <v>35</v>
      </c>
      <c r="M5" s="1" t="s">
        <v>36</v>
      </c>
      <c r="N5" s="9">
        <v>19061916</v>
      </c>
      <c r="O5" s="12">
        <v>0.33333333333333331</v>
      </c>
      <c r="P5" s="5" t="str">
        <f t="shared" si="3"/>
        <v/>
      </c>
      <c r="Q5" s="5" t="s">
        <v>28</v>
      </c>
      <c r="S5" s="1" t="s">
        <v>29</v>
      </c>
      <c r="U5" s="5" t="str">
        <f t="shared" si="4"/>
        <v/>
      </c>
      <c r="W5" s="1" t="str">
        <f>VLOOKUP(E5,'[1]CH DCPT CẤP HÀNG'!$B:$I,8,0)</f>
        <v>GHN</v>
      </c>
      <c r="X5" s="5">
        <f>IF(COUNTIFS($N$2:$N5,N5,$E$2:$E5,E5)=1,1,0)</f>
        <v>0</v>
      </c>
      <c r="Y5" s="5">
        <v>119.83800000000001</v>
      </c>
      <c r="Z5" s="5">
        <v>0.17370222293706294</v>
      </c>
      <c r="AA5" s="5" t="str">
        <f>IF(COUNTIF(L$2:L5,L5)=1,SUMIF(L:L,L5,I:I)/SUMIF(L:L,L5,X:X),"")</f>
        <v/>
      </c>
      <c r="AB5" s="5" t="str">
        <f>IF(COUNTIF($N$2:N5,N5)=1, SUMIF(N:N,N5,Y:Y), "")</f>
        <v/>
      </c>
      <c r="AC5" s="5" t="str">
        <f>IF(COUNTIF($N$2:N5,N5)=1, SUMIF(N:N,N5,Z:Z), "")</f>
        <v/>
      </c>
    </row>
    <row r="6" spans="1:33" x14ac:dyDescent="0.35">
      <c r="A6" s="1">
        <f ca="1">IF(B6="","",COUNTA($B$2:B6))</f>
        <v>5</v>
      </c>
      <c r="B6" s="2">
        <f t="shared" ca="1" si="0"/>
        <v>46193</v>
      </c>
      <c r="C6" s="1" t="s">
        <v>45</v>
      </c>
      <c r="D6" s="1" t="s">
        <v>46</v>
      </c>
      <c r="E6" s="1" t="s">
        <v>47</v>
      </c>
      <c r="F6" s="1" t="s">
        <v>48</v>
      </c>
      <c r="G6" s="1">
        <v>307</v>
      </c>
      <c r="H6" s="9">
        <v>23</v>
      </c>
      <c r="I6" s="3" t="str">
        <f>IF(COUNTIF($N$2:N6,N6)=1,
SUMIFS($G:$G,$N:$N,N6),
"")</f>
        <v/>
      </c>
      <c r="J6" s="3">
        <f t="shared" si="1"/>
        <v>342.99558888888902</v>
      </c>
      <c r="K6" s="4">
        <f t="shared" si="2"/>
        <v>1.3687176004294836</v>
      </c>
      <c r="L6" s="1" t="s">
        <v>35</v>
      </c>
      <c r="M6" s="1" t="s">
        <v>36</v>
      </c>
      <c r="N6" s="9">
        <v>19061916</v>
      </c>
      <c r="O6" s="12">
        <v>0.33333333333333331</v>
      </c>
      <c r="P6" s="5" t="str">
        <f t="shared" si="3"/>
        <v/>
      </c>
      <c r="Q6" s="5" t="s">
        <v>28</v>
      </c>
      <c r="S6" s="1" t="s">
        <v>29</v>
      </c>
      <c r="U6" s="5" t="str">
        <f t="shared" si="4"/>
        <v/>
      </c>
      <c r="W6" s="1" t="str">
        <f>VLOOKUP(E6,'[1]CH DCPT CẤP HÀNG'!$B:$I,8,0)</f>
        <v>GHN</v>
      </c>
      <c r="X6" s="5">
        <f>IF(COUNTIFS($N$2:$N6,N6,$E$2:$E6,E6)=1,1,0)</f>
        <v>1</v>
      </c>
      <c r="Y6" s="5">
        <v>317.486588888889</v>
      </c>
      <c r="Z6" s="5">
        <v>1.3249430404294837</v>
      </c>
      <c r="AA6" s="5" t="str">
        <f>IF(COUNTIF(L$2:L6,L6)=1,SUMIF(L:L,L6,I:I)/SUMIF(L:L,L6,X:X),"")</f>
        <v/>
      </c>
      <c r="AB6" s="5" t="str">
        <f>IF(COUNTIF($N$2:N6,N6)=1, SUMIF(N:N,N6,Y:Y), "")</f>
        <v/>
      </c>
      <c r="AC6" s="5" t="str">
        <f>IF(COUNTIF($N$2:N6,N6)=1, SUMIF(N:N,N6,Z:Z), "")</f>
        <v/>
      </c>
    </row>
    <row r="7" spans="1:33" x14ac:dyDescent="0.35">
      <c r="A7" s="1">
        <f ca="1">IF(B7="","",COUNTA($B$2:B7))</f>
        <v>6</v>
      </c>
      <c r="B7" s="2">
        <f t="shared" ca="1" si="0"/>
        <v>46193</v>
      </c>
      <c r="C7" s="1" t="s">
        <v>49</v>
      </c>
      <c r="D7" s="1" t="s">
        <v>50</v>
      </c>
      <c r="E7" s="1" t="s">
        <v>47</v>
      </c>
      <c r="F7" s="1" t="s">
        <v>48</v>
      </c>
      <c r="G7" s="1">
        <v>78</v>
      </c>
      <c r="H7" s="9">
        <v>3</v>
      </c>
      <c r="I7" s="3" t="str">
        <f>IF(COUNTIF($N$2:N7,N7)=1,
SUMIFS($G:$G,$N:$N,N7),
"")</f>
        <v/>
      </c>
      <c r="J7" s="3" t="str">
        <f t="shared" si="1"/>
        <v xml:space="preserve"> </v>
      </c>
      <c r="K7" s="4" t="str">
        <f t="shared" si="2"/>
        <v xml:space="preserve"> </v>
      </c>
      <c r="L7" s="1" t="s">
        <v>35</v>
      </c>
      <c r="M7" s="1" t="s">
        <v>36</v>
      </c>
      <c r="N7" s="9">
        <v>19061916</v>
      </c>
      <c r="O7" s="12">
        <v>0.33333333333333331</v>
      </c>
      <c r="P7" s="5" t="str">
        <f t="shared" si="3"/>
        <v/>
      </c>
      <c r="Q7" s="5" t="s">
        <v>28</v>
      </c>
      <c r="S7" s="1" t="s">
        <v>29</v>
      </c>
      <c r="U7" s="5" t="str">
        <f t="shared" si="4"/>
        <v/>
      </c>
      <c r="W7" s="1" t="str">
        <f>VLOOKUP(E7,'[1]CH DCPT CẤP HÀNG'!$B:$I,8,0)</f>
        <v>GHN</v>
      </c>
      <c r="X7" s="5">
        <f>IF(COUNTIFS($N$2:$N7,N7,$E$2:$E7,E7)=1,1,0)</f>
        <v>0</v>
      </c>
      <c r="Y7" s="5">
        <v>25.509000000000007</v>
      </c>
      <c r="Z7" s="5">
        <v>4.3774560000000004E-2</v>
      </c>
      <c r="AA7" s="5" t="str">
        <f>IF(COUNTIF(L$2:L7,L7)=1,SUMIF(L:L,L7,I:I)/SUMIF(L:L,L7,X:X),"")</f>
        <v/>
      </c>
      <c r="AB7" s="5" t="str">
        <f>IF(COUNTIF($N$2:N7,N7)=1, SUMIF(N:N,N7,Y:Y), "")</f>
        <v/>
      </c>
      <c r="AC7" s="5" t="str">
        <f>IF(COUNTIF($N$2:N7,N7)=1, SUMIF(N:N,N7,Z:Z), "")</f>
        <v/>
      </c>
    </row>
    <row r="8" spans="1:33" x14ac:dyDescent="0.35">
      <c r="A8" s="1">
        <f ca="1">IF(B8="","",COUNTA($B$2:B8))</f>
        <v>7</v>
      </c>
      <c r="B8" s="2">
        <f t="shared" ca="1" si="0"/>
        <v>46193</v>
      </c>
      <c r="C8" s="1" t="s">
        <v>64</v>
      </c>
      <c r="D8" s="1" t="s">
        <v>65</v>
      </c>
      <c r="E8" s="1" t="s">
        <v>66</v>
      </c>
      <c r="F8" s="1" t="s">
        <v>67</v>
      </c>
      <c r="G8" s="1">
        <v>217</v>
      </c>
      <c r="H8" s="9">
        <v>15</v>
      </c>
      <c r="I8" s="3" t="str">
        <f>IF(COUNTIF($N$2:N8,N8)=1,
SUMIFS($G:$G,$N:$N,N8),
"")</f>
        <v/>
      </c>
      <c r="J8" s="3">
        <f>IF(E8&lt;&gt;E39,SUMIF(E:E,E8,Y:Y)," ")</f>
        <v>266.74006666666673</v>
      </c>
      <c r="K8" s="4">
        <f>IF(E8&lt;&gt;E39,SUMIF(E:E,E8,Z:Z)," ")</f>
        <v>0.81873515692307675</v>
      </c>
      <c r="L8" s="1" t="s">
        <v>35</v>
      </c>
      <c r="M8" s="1" t="s">
        <v>55</v>
      </c>
      <c r="N8" s="9">
        <v>19061916</v>
      </c>
      <c r="O8" s="12">
        <v>0.33333333333333331</v>
      </c>
      <c r="P8" s="5" t="str">
        <f t="shared" si="3"/>
        <v/>
      </c>
      <c r="Q8" s="5" t="s">
        <v>28</v>
      </c>
      <c r="S8" s="1" t="s">
        <v>29</v>
      </c>
      <c r="U8" s="5" t="str">
        <f t="shared" si="4"/>
        <v/>
      </c>
      <c r="W8" s="1" t="str">
        <f>VLOOKUP(E8,'[1]CH DCPT CẤP HÀNG'!$B:$I,8,0)</f>
        <v>GHN</v>
      </c>
      <c r="X8" s="5">
        <f>IF(COUNTIFS($N$2:$N8,N8,$E$2:$E8,E8)=1,1,0)</f>
        <v>1</v>
      </c>
      <c r="Y8" s="5">
        <v>183.9400666666667</v>
      </c>
      <c r="Z8" s="5">
        <v>0.62237675692307681</v>
      </c>
      <c r="AA8" s="5" t="str">
        <f>IF(COUNTIF(L$2:L8,L8)=1,SUMIF(L:L,L8,I:I)/SUMIF(L:L,L8,X:X),"")</f>
        <v/>
      </c>
      <c r="AB8" s="5" t="str">
        <f>IF(COUNTIF($N$2:N8,N8)=1, SUMIF(N:N,N8,Y:Y), "")</f>
        <v/>
      </c>
      <c r="AC8" s="5" t="str">
        <f>IF(COUNTIF($N$2:N8,N8)=1, SUMIF(N:N,N8,Z:Z), "")</f>
        <v/>
      </c>
    </row>
    <row r="9" spans="1:33" x14ac:dyDescent="0.35">
      <c r="A9" s="1">
        <f ca="1">IF(B9="","",COUNTA($B$2:B9))</f>
        <v>8</v>
      </c>
      <c r="B9" s="2">
        <f t="shared" ca="1" si="0"/>
        <v>46193</v>
      </c>
      <c r="C9" s="1" t="s">
        <v>68</v>
      </c>
      <c r="D9" s="1" t="s">
        <v>69</v>
      </c>
      <c r="E9" s="1" t="s">
        <v>66</v>
      </c>
      <c r="F9" s="1" t="s">
        <v>67</v>
      </c>
      <c r="G9" s="1">
        <v>102</v>
      </c>
      <c r="H9" s="9">
        <v>3</v>
      </c>
      <c r="I9" s="3" t="str">
        <f>IF(COUNTIF($N$2:N9,N9)=1,
SUMIFS($G:$G,$N:$N,N9),
"")</f>
        <v/>
      </c>
      <c r="J9" s="3" t="str">
        <f t="shared" ref="J9:J35" si="5">IF(E9&lt;&gt;E8,SUMIF(E:E,E9,Y:Y)," ")</f>
        <v xml:space="preserve"> </v>
      </c>
      <c r="K9" s="4" t="str">
        <f t="shared" ref="K9:K35" si="6">IF(E9&lt;&gt;E8,SUMIF(E:E,E9,Z:Z)," ")</f>
        <v xml:space="preserve"> </v>
      </c>
      <c r="L9" s="1" t="s">
        <v>35</v>
      </c>
      <c r="M9" s="1" t="s">
        <v>55</v>
      </c>
      <c r="N9" s="9">
        <v>19061916</v>
      </c>
      <c r="O9" s="12">
        <v>0.33333333333333331</v>
      </c>
      <c r="P9" s="5" t="str">
        <f t="shared" si="3"/>
        <v/>
      </c>
      <c r="Q9" s="5" t="s">
        <v>28</v>
      </c>
      <c r="S9" s="1" t="s">
        <v>29</v>
      </c>
      <c r="U9" s="5" t="str">
        <f t="shared" si="4"/>
        <v/>
      </c>
      <c r="W9" s="1" t="str">
        <f>VLOOKUP(E9,'[1]CH DCPT CẤP HÀNG'!$B:$I,8,0)</f>
        <v>GHN</v>
      </c>
      <c r="X9" s="5">
        <f>IF(COUNTIFS($N$2:$N9,N9,$E$2:$E9,E9)=1,1,0)</f>
        <v>0</v>
      </c>
      <c r="Y9" s="5">
        <v>82.800000000000011</v>
      </c>
      <c r="Z9" s="5">
        <v>0.19635839999999999</v>
      </c>
      <c r="AA9" s="5" t="str">
        <f>IF(COUNTIF(L$2:L9,L9)=1,SUMIF(L:L,L9,I:I)/SUMIF(L:L,L9,X:X),"")</f>
        <v/>
      </c>
      <c r="AB9" s="5" t="str">
        <f>IF(COUNTIF($N$2:N9,N9)=1, SUMIF(N:N,N9,Y:Y), "")</f>
        <v/>
      </c>
      <c r="AC9" s="5" t="str">
        <f>IF(COUNTIF($N$2:N9,N9)=1, SUMIF(N:N,N9,Z:Z), "")</f>
        <v/>
      </c>
    </row>
    <row r="10" spans="1:33" x14ac:dyDescent="0.35">
      <c r="A10" s="1">
        <f ca="1">IF(B10="","",COUNTA($B$2:B10))</f>
        <v>9</v>
      </c>
      <c r="B10" s="2">
        <f t="shared" ca="1" si="0"/>
        <v>46193</v>
      </c>
      <c r="C10" s="1" t="s">
        <v>70</v>
      </c>
      <c r="D10" s="1" t="s">
        <v>71</v>
      </c>
      <c r="E10" s="1" t="s">
        <v>72</v>
      </c>
      <c r="F10" s="1" t="s">
        <v>73</v>
      </c>
      <c r="G10" s="1">
        <v>162</v>
      </c>
      <c r="H10" s="9">
        <v>12</v>
      </c>
      <c r="I10" s="3" t="str">
        <f>IF(COUNTIF($N$2:N10,N10)=1,
SUMIFS($G:$G,$N:$N,N10),
"")</f>
        <v/>
      </c>
      <c r="J10" s="3">
        <f t="shared" si="5"/>
        <v>153.35997777777783</v>
      </c>
      <c r="K10" s="4">
        <f t="shared" si="6"/>
        <v>0.60186836649504627</v>
      </c>
      <c r="L10" s="1" t="s">
        <v>35</v>
      </c>
      <c r="M10" s="1" t="s">
        <v>55</v>
      </c>
      <c r="N10" s="9">
        <v>19061916</v>
      </c>
      <c r="O10" s="12">
        <v>0.33333333333333331</v>
      </c>
      <c r="P10" s="5" t="str">
        <f t="shared" si="3"/>
        <v/>
      </c>
      <c r="Q10" s="5" t="s">
        <v>28</v>
      </c>
      <c r="S10" s="1" t="s">
        <v>29</v>
      </c>
      <c r="U10" s="5" t="str">
        <f t="shared" si="4"/>
        <v/>
      </c>
      <c r="W10" s="1" t="str">
        <f>VLOOKUP(E10,'[1]CH DCPT CẤP HÀNG'!$B:$I,8,0)</f>
        <v>GHN</v>
      </c>
      <c r="X10" s="5">
        <f>IF(COUNTIFS($N$2:$N10,N10,$E$2:$E10,E10)=1,1,0)</f>
        <v>1</v>
      </c>
      <c r="Y10" s="5">
        <v>115.79397777777781</v>
      </c>
      <c r="Z10" s="5">
        <v>0.50910811086567564</v>
      </c>
      <c r="AA10" s="5" t="str">
        <f>IF(COUNTIF(L$2:L10,L10)=1,SUMIF(L:L,L10,I:I)/SUMIF(L:L,L10,X:X),"")</f>
        <v/>
      </c>
      <c r="AB10" s="5" t="str">
        <f>IF(COUNTIF($N$2:N10,N10)=1, SUMIF(N:N,N10,Y:Y), "")</f>
        <v/>
      </c>
      <c r="AC10" s="5" t="str">
        <f>IF(COUNTIF($N$2:N10,N10)=1, SUMIF(N:N,N10,Z:Z), "")</f>
        <v/>
      </c>
    </row>
    <row r="11" spans="1:33" x14ac:dyDescent="0.35">
      <c r="A11" s="1">
        <f ca="1">IF(B11="","",COUNTA($B$2:B11))</f>
        <v>10</v>
      </c>
      <c r="B11" s="2">
        <f t="shared" ca="1" si="0"/>
        <v>46193</v>
      </c>
      <c r="C11" s="1" t="s">
        <v>74</v>
      </c>
      <c r="D11" s="1" t="s">
        <v>75</v>
      </c>
      <c r="E11" s="1" t="s">
        <v>72</v>
      </c>
      <c r="F11" s="1" t="s">
        <v>73</v>
      </c>
      <c r="G11" s="1">
        <v>54</v>
      </c>
      <c r="H11" s="9">
        <v>3</v>
      </c>
      <c r="I11" s="3" t="str">
        <f>IF(COUNTIF($N$2:N11,N11)=1,
SUMIFS($G:$G,$N:$N,N11),
"")</f>
        <v/>
      </c>
      <c r="J11" s="3" t="str">
        <f t="shared" si="5"/>
        <v xml:space="preserve"> </v>
      </c>
      <c r="K11" s="4" t="str">
        <f t="shared" si="6"/>
        <v xml:space="preserve"> </v>
      </c>
      <c r="L11" s="1" t="s">
        <v>35</v>
      </c>
      <c r="M11" s="1" t="s">
        <v>55</v>
      </c>
      <c r="N11" s="9">
        <v>19061916</v>
      </c>
      <c r="O11" s="12">
        <v>0.33333333333333331</v>
      </c>
      <c r="P11" s="5" t="str">
        <f t="shared" si="3"/>
        <v/>
      </c>
      <c r="Q11" s="5" t="s">
        <v>28</v>
      </c>
      <c r="S11" s="1" t="s">
        <v>29</v>
      </c>
      <c r="U11" s="5" t="str">
        <f t="shared" si="4"/>
        <v/>
      </c>
      <c r="W11" s="1" t="str">
        <f>VLOOKUP(E11,'[1]CH DCPT CẤP HÀNG'!$B:$I,8,0)</f>
        <v>GHN</v>
      </c>
      <c r="X11" s="5">
        <f>IF(COUNTIFS($N$2:$N11,N11,$E$2:$E11,E11)=1,1,0)</f>
        <v>0</v>
      </c>
      <c r="Y11" s="5">
        <v>37.566000000000003</v>
      </c>
      <c r="Z11" s="5">
        <v>9.2760255629370639E-2</v>
      </c>
      <c r="AA11" s="5" t="str">
        <f>IF(COUNTIF(L$2:L11,L11)=1,SUMIF(L:L,L11,I:I)/SUMIF(L:L,L11,X:X),"")</f>
        <v/>
      </c>
      <c r="AB11" s="5" t="str">
        <f>IF(COUNTIF($N$2:N11,N11)=1, SUMIF(N:N,N11,Y:Y), "")</f>
        <v/>
      </c>
      <c r="AC11" s="5" t="str">
        <f>IF(COUNTIF($N$2:N11,N11)=1, SUMIF(N:N,N11,Z:Z), "")</f>
        <v/>
      </c>
    </row>
    <row r="12" spans="1:33" x14ac:dyDescent="0.35">
      <c r="A12" s="1">
        <f ca="1">IF(B12="","",COUNTA($B$2:B12))</f>
        <v>11</v>
      </c>
      <c r="B12" s="2">
        <f t="shared" ca="1" si="0"/>
        <v>46193</v>
      </c>
      <c r="C12" s="1" t="s">
        <v>76</v>
      </c>
      <c r="D12" s="1" t="s">
        <v>77</v>
      </c>
      <c r="E12" s="1" t="s">
        <v>78</v>
      </c>
      <c r="F12" s="1" t="s">
        <v>79</v>
      </c>
      <c r="G12" s="1">
        <v>116</v>
      </c>
      <c r="H12" s="9">
        <v>8</v>
      </c>
      <c r="I12" s="3" t="str">
        <f>IF(COUNTIF($N$2:N12,N12)=1,
SUMIFS($G:$G,$N:$N,N12),
"")</f>
        <v/>
      </c>
      <c r="J12" s="3">
        <f t="shared" si="5"/>
        <v>64.01142063492064</v>
      </c>
      <c r="K12" s="4">
        <f t="shared" si="6"/>
        <v>0.23950738600549448</v>
      </c>
      <c r="L12" s="1" t="s">
        <v>35</v>
      </c>
      <c r="M12" s="1" t="s">
        <v>55</v>
      </c>
      <c r="N12" s="9">
        <v>19061916</v>
      </c>
      <c r="O12" s="12">
        <v>0.33333333333333331</v>
      </c>
      <c r="P12" s="5" t="str">
        <f t="shared" si="3"/>
        <v/>
      </c>
      <c r="Q12" s="5" t="s">
        <v>28</v>
      </c>
      <c r="S12" s="1" t="s">
        <v>29</v>
      </c>
      <c r="U12" s="5" t="str">
        <f t="shared" si="4"/>
        <v/>
      </c>
      <c r="W12" s="1" t="str">
        <f>VLOOKUP(E12,'[1]CH DCPT CẤP HÀNG'!$B:$I,8,0)</f>
        <v>GHN</v>
      </c>
      <c r="X12" s="5">
        <f>IF(COUNTIFS($N$2:$N12,N12,$E$2:$E12,E12)=1,1,0)</f>
        <v>1</v>
      </c>
      <c r="Y12" s="5">
        <v>54.666420634920641</v>
      </c>
      <c r="Z12" s="5">
        <v>0.21292277062087908</v>
      </c>
      <c r="AA12" s="5" t="str">
        <f>IF(COUNTIF(L$2:L12,L12)=1,SUMIF(L:L,L12,I:I)/SUMIF(L:L,L12,X:X),"")</f>
        <v/>
      </c>
      <c r="AB12" s="5" t="str">
        <f>IF(COUNTIF($N$2:N12,N12)=1, SUMIF(N:N,N12,Y:Y), "")</f>
        <v/>
      </c>
      <c r="AC12" s="5" t="str">
        <f>IF(COUNTIF($N$2:N12,N12)=1, SUMIF(N:N,N12,Z:Z), "")</f>
        <v/>
      </c>
    </row>
    <row r="13" spans="1:33" x14ac:dyDescent="0.35">
      <c r="A13" s="1">
        <f ca="1">IF(B13="","",COUNTA($B$2:B13))</f>
        <v>12</v>
      </c>
      <c r="B13" s="2">
        <f t="shared" ca="1" si="0"/>
        <v>46193</v>
      </c>
      <c r="C13" s="1" t="s">
        <v>80</v>
      </c>
      <c r="D13" s="1" t="s">
        <v>81</v>
      </c>
      <c r="E13" s="1" t="s">
        <v>78</v>
      </c>
      <c r="F13" s="1" t="s">
        <v>79</v>
      </c>
      <c r="G13" s="1">
        <v>54</v>
      </c>
      <c r="H13" s="9">
        <v>2</v>
      </c>
      <c r="I13" s="3" t="str">
        <f>IF(COUNTIF($N$2:N13,N13)=1,
SUMIFS($G:$G,$N:$N,N13),
"")</f>
        <v/>
      </c>
      <c r="J13" s="3" t="str">
        <f t="shared" si="5"/>
        <v xml:space="preserve"> </v>
      </c>
      <c r="K13" s="4" t="str">
        <f t="shared" si="6"/>
        <v xml:space="preserve"> </v>
      </c>
      <c r="L13" s="1" t="s">
        <v>35</v>
      </c>
      <c r="M13" s="1" t="s">
        <v>55</v>
      </c>
      <c r="N13" s="9">
        <v>19061916</v>
      </c>
      <c r="O13" s="12">
        <v>0.33333333333333331</v>
      </c>
      <c r="P13" s="5" t="str">
        <f t="shared" si="3"/>
        <v/>
      </c>
      <c r="Q13" s="5" t="s">
        <v>28</v>
      </c>
      <c r="S13" s="1" t="s">
        <v>29</v>
      </c>
      <c r="U13" s="5" t="str">
        <f t="shared" si="4"/>
        <v/>
      </c>
      <c r="W13" s="1" t="str">
        <f>VLOOKUP(E13,'[1]CH DCPT CẤP HÀNG'!$B:$I,8,0)</f>
        <v>GHN</v>
      </c>
      <c r="X13" s="5">
        <f>IF(COUNTIFS($N$2:$N13,N13,$E$2:$E13,E13)=1,1,0)</f>
        <v>0</v>
      </c>
      <c r="Y13" s="5">
        <v>9.3449999999999989</v>
      </c>
      <c r="Z13" s="5">
        <v>2.6584615384615387E-2</v>
      </c>
      <c r="AA13" s="5" t="str">
        <f>IF(COUNTIF(L$2:L13,L13)=1,SUMIF(L:L,L13,I:I)/SUMIF(L:L,L13,X:X),"")</f>
        <v/>
      </c>
      <c r="AB13" s="5" t="str">
        <f>IF(COUNTIF($N$2:N13,N13)=1, SUMIF(N:N,N13,Y:Y), "")</f>
        <v/>
      </c>
      <c r="AC13" s="5" t="str">
        <f>IF(COUNTIF($N$2:N13,N13)=1, SUMIF(N:N,N13,Z:Z), "")</f>
        <v/>
      </c>
    </row>
    <row r="14" spans="1:33" x14ac:dyDescent="0.35">
      <c r="A14" s="1">
        <f ca="1">IF(B14="","",COUNTA($B$2:B14))</f>
        <v>13</v>
      </c>
      <c r="B14" s="2">
        <f t="shared" ca="1" si="0"/>
        <v>46193</v>
      </c>
      <c r="C14" s="1" t="s">
        <v>82</v>
      </c>
      <c r="D14" s="1" t="s">
        <v>83</v>
      </c>
      <c r="E14" s="1" t="s">
        <v>84</v>
      </c>
      <c r="F14" s="1" t="s">
        <v>85</v>
      </c>
      <c r="G14" s="1">
        <v>238</v>
      </c>
      <c r="H14" s="9">
        <v>16</v>
      </c>
      <c r="I14" s="3" t="str">
        <f>IF(COUNTIF($N$2:N14,N14)=1,
SUMIFS($G:$G,$N:$N,N14),
"")</f>
        <v/>
      </c>
      <c r="J14" s="3">
        <f t="shared" si="5"/>
        <v>217.2840333333333</v>
      </c>
      <c r="K14" s="4">
        <f t="shared" si="6"/>
        <v>0.79119251830186077</v>
      </c>
      <c r="L14" s="1" t="s">
        <v>35</v>
      </c>
      <c r="M14" s="1" t="s">
        <v>55</v>
      </c>
      <c r="N14" s="9">
        <v>19061916</v>
      </c>
      <c r="O14" s="12">
        <v>0.33333333333333331</v>
      </c>
      <c r="P14" s="5" t="str">
        <f t="shared" si="3"/>
        <v/>
      </c>
      <c r="Q14" s="5" t="s">
        <v>28</v>
      </c>
      <c r="S14" s="1" t="s">
        <v>29</v>
      </c>
      <c r="U14" s="5" t="str">
        <f t="shared" si="4"/>
        <v/>
      </c>
      <c r="W14" s="1" t="str">
        <f>VLOOKUP(E14,'[1]CH DCPT CẤP HÀNG'!$B:$I,8,0)</f>
        <v>GHN</v>
      </c>
      <c r="X14" s="5">
        <f>IF(COUNTIFS($N$2:$N14,N14,$E$2:$E14,E14)=1,1,0)</f>
        <v>1</v>
      </c>
      <c r="Y14" s="5">
        <v>184.84503333333328</v>
      </c>
      <c r="Z14" s="5">
        <v>0.70540007368647617</v>
      </c>
      <c r="AA14" s="5" t="str">
        <f>IF(COUNTIF(L$2:L14,L14)=1,SUMIF(L:L,L14,I:I)/SUMIF(L:L,L14,X:X),"")</f>
        <v/>
      </c>
      <c r="AB14" s="5" t="str">
        <f>IF(COUNTIF($N$2:N14,N14)=1, SUMIF(N:N,N14,Y:Y), "")</f>
        <v/>
      </c>
      <c r="AC14" s="5" t="str">
        <f>IF(COUNTIF($N$2:N14,N14)=1, SUMIF(N:N,N14,Z:Z), "")</f>
        <v/>
      </c>
    </row>
    <row r="15" spans="1:33" x14ac:dyDescent="0.35">
      <c r="A15" s="1">
        <f ca="1">IF(B15="","",COUNTA($B$2:B15))</f>
        <v>14</v>
      </c>
      <c r="B15" s="2">
        <f t="shared" ca="1" si="0"/>
        <v>46193</v>
      </c>
      <c r="C15" s="1" t="s">
        <v>86</v>
      </c>
      <c r="D15" s="1" t="s">
        <v>87</v>
      </c>
      <c r="E15" s="1" t="s">
        <v>84</v>
      </c>
      <c r="F15" s="1" t="s">
        <v>85</v>
      </c>
      <c r="G15" s="1">
        <v>162</v>
      </c>
      <c r="H15" s="9">
        <v>6</v>
      </c>
      <c r="I15" s="3" t="str">
        <f>IF(COUNTIF($N$2:N15,N15)=1,
SUMIFS($G:$G,$N:$N,N15),
"")</f>
        <v/>
      </c>
      <c r="J15" s="3" t="str">
        <f t="shared" si="5"/>
        <v xml:space="preserve"> </v>
      </c>
      <c r="K15" s="4" t="str">
        <f t="shared" si="6"/>
        <v xml:space="preserve"> </v>
      </c>
      <c r="L15" s="1" t="s">
        <v>35</v>
      </c>
      <c r="M15" s="1" t="s">
        <v>55</v>
      </c>
      <c r="N15" s="9">
        <v>19061916</v>
      </c>
      <c r="O15" s="12">
        <v>0.33333333333333331</v>
      </c>
      <c r="P15" s="5" t="str">
        <f t="shared" si="3"/>
        <v/>
      </c>
      <c r="Q15" s="5" t="s">
        <v>28</v>
      </c>
      <c r="S15" s="1" t="s">
        <v>29</v>
      </c>
      <c r="U15" s="5" t="str">
        <f t="shared" si="4"/>
        <v/>
      </c>
      <c r="W15" s="1" t="str">
        <f>VLOOKUP(E15,'[1]CH DCPT CẤP HÀNG'!$B:$I,8,0)</f>
        <v>GHN</v>
      </c>
      <c r="X15" s="5">
        <f>IF(COUNTIFS($N$2:$N15,N15,$E$2:$E15,E15)=1,1,0)</f>
        <v>0</v>
      </c>
      <c r="Y15" s="5">
        <v>32.439000000000007</v>
      </c>
      <c r="Z15" s="5">
        <v>8.5792444615384628E-2</v>
      </c>
      <c r="AA15" s="5" t="str">
        <f>IF(COUNTIF(L$2:L15,L15)=1,SUMIF(L:L,L15,I:I)/SUMIF(L:L,L15,X:X),"")</f>
        <v/>
      </c>
      <c r="AB15" s="5" t="str">
        <f>IF(COUNTIF($N$2:N15,N15)=1, SUMIF(N:N,N15,Y:Y), "")</f>
        <v/>
      </c>
      <c r="AC15" s="5" t="str">
        <f>IF(COUNTIF($N$2:N15,N15)=1, SUMIF(N:N,N15,Z:Z), "")</f>
        <v/>
      </c>
    </row>
    <row r="16" spans="1:33" x14ac:dyDescent="0.35">
      <c r="A16" s="1">
        <f ca="1">IF(B16="","",COUNTA($B$2:B16))</f>
        <v>15</v>
      </c>
      <c r="B16" s="2">
        <f t="shared" ca="1" si="0"/>
        <v>46193</v>
      </c>
      <c r="C16" s="1" t="s">
        <v>88</v>
      </c>
      <c r="D16" s="1" t="s">
        <v>89</v>
      </c>
      <c r="E16" s="1" t="s">
        <v>90</v>
      </c>
      <c r="F16" s="1" t="s">
        <v>91</v>
      </c>
      <c r="G16" s="1">
        <v>215</v>
      </c>
      <c r="H16" s="9">
        <v>12</v>
      </c>
      <c r="I16" s="3" t="str">
        <f>IF(COUNTIF($N$2:N16,N16)=1,
SUMIFS($G:$G,$N:$N,N16),
"")</f>
        <v/>
      </c>
      <c r="J16" s="3">
        <f t="shared" si="5"/>
        <v>195.78671428571434</v>
      </c>
      <c r="K16" s="4">
        <f t="shared" si="6"/>
        <v>0.55078425421245425</v>
      </c>
      <c r="L16" s="1" t="s">
        <v>35</v>
      </c>
      <c r="M16" s="1" t="s">
        <v>55</v>
      </c>
      <c r="N16" s="9">
        <v>19061916</v>
      </c>
      <c r="O16" s="12">
        <v>0.33333333333333331</v>
      </c>
      <c r="P16" s="5" t="str">
        <f t="shared" si="3"/>
        <v/>
      </c>
      <c r="Q16" s="5" t="s">
        <v>28</v>
      </c>
      <c r="S16" s="1" t="s">
        <v>29</v>
      </c>
      <c r="U16" s="5" t="str">
        <f t="shared" si="4"/>
        <v/>
      </c>
      <c r="W16" s="1" t="str">
        <f>VLOOKUP(E16,'[1]CH DCPT CẤP HÀNG'!$B:$I,8,0)</f>
        <v>GHN</v>
      </c>
      <c r="X16" s="5">
        <f>IF(COUNTIFS($N$2:$N16,N16,$E$2:$E16,E16)=1,1,0)</f>
        <v>1</v>
      </c>
      <c r="Y16" s="5">
        <v>111.32871428571431</v>
      </c>
      <c r="Z16" s="5">
        <v>0.41031816190476189</v>
      </c>
      <c r="AA16" s="5" t="str">
        <f>IF(COUNTIF(L$2:L16,L16)=1,SUMIF(L:L,L16,I:I)/SUMIF(L:L,L16,X:X),"")</f>
        <v/>
      </c>
      <c r="AB16" s="5" t="str">
        <f>IF(COUNTIF($N$2:N16,N16)=1, SUMIF(N:N,N16,Y:Y), "")</f>
        <v/>
      </c>
      <c r="AC16" s="5" t="str">
        <f>IF(COUNTIF($N$2:N16,N16)=1, SUMIF(N:N,N16,Z:Z), "")</f>
        <v/>
      </c>
    </row>
    <row r="17" spans="1:33" x14ac:dyDescent="0.35">
      <c r="A17" s="1">
        <f ca="1">IF(B17="","",COUNTA($B$2:B17))</f>
        <v>16</v>
      </c>
      <c r="B17" s="2">
        <f t="shared" ca="1" si="0"/>
        <v>46193</v>
      </c>
      <c r="C17" s="1" t="s">
        <v>92</v>
      </c>
      <c r="D17" s="1" t="s">
        <v>93</v>
      </c>
      <c r="E17" s="1" t="s">
        <v>90</v>
      </c>
      <c r="F17" s="1" t="s">
        <v>91</v>
      </c>
      <c r="G17" s="1">
        <v>200</v>
      </c>
      <c r="H17" s="9">
        <v>6</v>
      </c>
      <c r="I17" s="3" t="str">
        <f>IF(COUNTIF($N$2:N17,N17)=1,
SUMIFS($G:$G,$N:$N,N17),
"")</f>
        <v/>
      </c>
      <c r="J17" s="3" t="str">
        <f t="shared" si="5"/>
        <v xml:space="preserve"> </v>
      </c>
      <c r="K17" s="4" t="str">
        <f t="shared" si="6"/>
        <v xml:space="preserve"> </v>
      </c>
      <c r="L17" s="1" t="s">
        <v>35</v>
      </c>
      <c r="M17" s="1" t="s">
        <v>55</v>
      </c>
      <c r="N17" s="9">
        <v>19061916</v>
      </c>
      <c r="O17" s="12">
        <v>0.33333333333333331</v>
      </c>
      <c r="P17" s="5" t="str">
        <f t="shared" si="3"/>
        <v/>
      </c>
      <c r="Q17" s="5" t="s">
        <v>28</v>
      </c>
      <c r="S17" s="1" t="s">
        <v>29</v>
      </c>
      <c r="U17" s="5" t="str">
        <f t="shared" si="4"/>
        <v/>
      </c>
      <c r="W17" s="1" t="str">
        <f>VLOOKUP(E17,'[1]CH DCPT CẤP HÀNG'!$B:$I,8,0)</f>
        <v>GHN</v>
      </c>
      <c r="X17" s="5">
        <f>IF(COUNTIFS($N$2:$N17,N17,$E$2:$E17,E17)=1,1,0)</f>
        <v>0</v>
      </c>
      <c r="Y17" s="5">
        <v>84.458000000000027</v>
      </c>
      <c r="Z17" s="5">
        <v>0.14046609230769233</v>
      </c>
      <c r="AA17" s="5" t="str">
        <f>IF(COUNTIF(L$2:L17,L17)=1,SUMIF(L:L,L17,I:I)/SUMIF(L:L,L17,X:X),"")</f>
        <v/>
      </c>
      <c r="AB17" s="5" t="str">
        <f>IF(COUNTIF($N$2:N17,N17)=1, SUMIF(N:N,N17,Y:Y), "")</f>
        <v/>
      </c>
      <c r="AC17" s="5" t="str">
        <f>IF(COUNTIF($N$2:N17,N17)=1, SUMIF(N:N,N17,Z:Z), "")</f>
        <v/>
      </c>
    </row>
    <row r="18" spans="1:33" x14ac:dyDescent="0.35">
      <c r="A18" s="1">
        <f ca="1">IF(B18="","",COUNTA($B$2:B18))</f>
        <v>17</v>
      </c>
      <c r="B18" s="2">
        <f t="shared" ca="1" si="0"/>
        <v>46193</v>
      </c>
      <c r="C18" s="1" t="s">
        <v>94</v>
      </c>
      <c r="D18" s="1" t="s">
        <v>95</v>
      </c>
      <c r="E18" s="1" t="s">
        <v>96</v>
      </c>
      <c r="F18" s="1" t="s">
        <v>97</v>
      </c>
      <c r="G18" s="1">
        <v>408</v>
      </c>
      <c r="H18" s="9">
        <v>23</v>
      </c>
      <c r="I18" s="3" t="str">
        <f>IF(COUNTIF($N$2:N18,N18)=1,
SUMIFS($G:$G,$N:$N,N18),
"")</f>
        <v/>
      </c>
      <c r="J18" s="3">
        <f t="shared" si="5"/>
        <v>330.95932222222228</v>
      </c>
      <c r="K18" s="4">
        <f t="shared" si="6"/>
        <v>1.0301159334245298</v>
      </c>
      <c r="L18" s="1" t="s">
        <v>35</v>
      </c>
      <c r="M18" s="1" t="s">
        <v>55</v>
      </c>
      <c r="N18" s="9">
        <v>19061916</v>
      </c>
      <c r="O18" s="12">
        <v>0.33333333333333331</v>
      </c>
      <c r="P18" s="5" t="str">
        <f t="shared" si="3"/>
        <v/>
      </c>
      <c r="Q18" s="5" t="s">
        <v>28</v>
      </c>
      <c r="S18" s="1" t="s">
        <v>29</v>
      </c>
      <c r="U18" s="5" t="str">
        <f t="shared" si="4"/>
        <v/>
      </c>
      <c r="W18" s="1" t="str">
        <f>VLOOKUP(E18,'[1]CH DCPT CẤP HÀNG'!$B:$I,8,0)</f>
        <v>GHN</v>
      </c>
      <c r="X18" s="5">
        <f>IF(COUNTIFS($N$2:$N18,N18,$E$2:$E18,E18)=1,1,0)</f>
        <v>1</v>
      </c>
      <c r="Y18" s="5">
        <v>279.8313222222223</v>
      </c>
      <c r="Z18" s="5">
        <v>0.90910191817977459</v>
      </c>
      <c r="AA18" s="5" t="str">
        <f>IF(COUNTIF(L$2:L18,L18)=1,SUMIF(L:L,L18,I:I)/SUMIF(L:L,L18,X:X),"")</f>
        <v/>
      </c>
      <c r="AB18" s="5" t="str">
        <f>IF(COUNTIF($N$2:N18,N18)=1, SUMIF(N:N,N18,Y:Y), "")</f>
        <v/>
      </c>
      <c r="AC18" s="5" t="str">
        <f>IF(COUNTIF($N$2:N18,N18)=1, SUMIF(N:N,N18,Z:Z), "")</f>
        <v/>
      </c>
    </row>
    <row r="19" spans="1:33" x14ac:dyDescent="0.35">
      <c r="A19" s="1">
        <f ca="1">IF(B19="","",COUNTA($B$2:B19))</f>
        <v>18</v>
      </c>
      <c r="B19" s="2">
        <f t="shared" ca="1" si="0"/>
        <v>46193</v>
      </c>
      <c r="C19" s="1" t="s">
        <v>98</v>
      </c>
      <c r="D19" s="1" t="s">
        <v>99</v>
      </c>
      <c r="E19" s="1" t="s">
        <v>96</v>
      </c>
      <c r="F19" s="1" t="s">
        <v>97</v>
      </c>
      <c r="G19" s="1">
        <v>180</v>
      </c>
      <c r="H19" s="9">
        <v>7</v>
      </c>
      <c r="I19" s="3" t="str">
        <f>IF(COUNTIF($N$2:N19,N19)=1,
SUMIFS($G:$G,$N:$N,N19),
"")</f>
        <v/>
      </c>
      <c r="J19" s="3" t="str">
        <f t="shared" si="5"/>
        <v xml:space="preserve"> </v>
      </c>
      <c r="K19" s="4" t="str">
        <f t="shared" si="6"/>
        <v xml:space="preserve"> </v>
      </c>
      <c r="L19" s="1" t="s">
        <v>35</v>
      </c>
      <c r="M19" s="1" t="s">
        <v>55</v>
      </c>
      <c r="N19" s="9">
        <v>19061916</v>
      </c>
      <c r="O19" s="12">
        <v>0.33333333333333331</v>
      </c>
      <c r="P19" s="5" t="str">
        <f t="shared" si="3"/>
        <v/>
      </c>
      <c r="Q19" s="5" t="s">
        <v>28</v>
      </c>
      <c r="S19" s="1" t="s">
        <v>29</v>
      </c>
      <c r="U19" s="5" t="str">
        <f t="shared" si="4"/>
        <v/>
      </c>
      <c r="W19" s="1" t="str">
        <f>VLOOKUP(E19,'[1]CH DCPT CẤP HÀNG'!$B:$I,8,0)</f>
        <v>GHN</v>
      </c>
      <c r="X19" s="5">
        <f>IF(COUNTIFS($N$2:$N19,N19,$E$2:$E19,E19)=1,1,0)</f>
        <v>0</v>
      </c>
      <c r="Y19" s="5">
        <v>51.128</v>
      </c>
      <c r="Z19" s="5">
        <v>0.12101401524475525</v>
      </c>
      <c r="AA19" s="5" t="str">
        <f>IF(COUNTIF(L$2:L19,L19)=1,SUMIF(L:L,L19,I:I)/SUMIF(L:L,L19,X:X),"")</f>
        <v/>
      </c>
      <c r="AB19" s="5" t="str">
        <f>IF(COUNTIF($N$2:N19,N19)=1, SUMIF(N:N,N19,Y:Y), "")</f>
        <v/>
      </c>
      <c r="AC19" s="5" t="str">
        <f>IF(COUNTIF($N$2:N19,N19)=1, SUMIF(N:N,N19,Z:Z), "")</f>
        <v/>
      </c>
    </row>
    <row r="20" spans="1:33" x14ac:dyDescent="0.35">
      <c r="A20" s="1">
        <f ca="1">IF(B20="","",COUNTA($B$2:B20))</f>
        <v>19</v>
      </c>
      <c r="B20" s="2">
        <f t="shared" ca="1" si="0"/>
        <v>46193</v>
      </c>
      <c r="C20" s="1" t="s">
        <v>100</v>
      </c>
      <c r="D20" s="1" t="s">
        <v>101</v>
      </c>
      <c r="E20" s="1" t="s">
        <v>102</v>
      </c>
      <c r="F20" s="1" t="s">
        <v>103</v>
      </c>
      <c r="G20" s="1">
        <v>111</v>
      </c>
      <c r="H20" s="9">
        <v>7</v>
      </c>
      <c r="I20" s="3" t="str">
        <f>IF(COUNTIF($N$2:N20,N20)=1,
SUMIFS($G:$G,$N:$N,N20),
"")</f>
        <v/>
      </c>
      <c r="J20" s="3">
        <f t="shared" si="5"/>
        <v>39.535300000000007</v>
      </c>
      <c r="K20" s="4">
        <f t="shared" si="6"/>
        <v>0.26169742953204794</v>
      </c>
      <c r="L20" s="1" t="s">
        <v>35</v>
      </c>
      <c r="M20" s="1" t="s">
        <v>55</v>
      </c>
      <c r="N20" s="9">
        <v>19061916</v>
      </c>
      <c r="O20" s="12">
        <v>0.33333333333333331</v>
      </c>
      <c r="P20" s="5" t="str">
        <f t="shared" si="3"/>
        <v/>
      </c>
      <c r="Q20" s="5" t="s">
        <v>28</v>
      </c>
      <c r="S20" s="1" t="s">
        <v>29</v>
      </c>
      <c r="U20" s="5" t="str">
        <f>IF(OR(R20="", N20="", O20=""), "", "LOT SAU KHOẢNG " &amp; TEXT(IF(R20=5, O20+TIME(2,0,0), IF(OR(R20=7, R20=8), O20+TIME(2,48,0), IF(R20=10, O20+TIME(3,48,0), O20))), "hh:mm"))</f>
        <v/>
      </c>
      <c r="W20" s="1" t="str">
        <f>VLOOKUP(E20,'[1]CH DCPT CẤP HÀNG'!$B:$I,8,0)</f>
        <v>GHN</v>
      </c>
      <c r="X20" s="5">
        <f>IF(COUNTIFS($N$2:$N20,N20,$E$2:$E20,E20)=1,1,0)</f>
        <v>1</v>
      </c>
      <c r="Y20" s="5">
        <v>39.535300000000007</v>
      </c>
      <c r="Z20" s="5">
        <v>0.26169742953204794</v>
      </c>
      <c r="AA20" s="5" t="str">
        <f>IF(COUNTIF(L$2:L20,L20)=1,SUMIF(L:L,L20,I:I)/SUMIF(L:L,L20,X:X),"")</f>
        <v/>
      </c>
      <c r="AB20" s="5" t="str">
        <f>IF(COUNTIF($N$2:N20,N20)=1, SUMIF(N:N,N20,Y:Y), "")</f>
        <v/>
      </c>
      <c r="AC20" s="5" t="str">
        <f>IF(COUNTIF($N$2:N20,N20)=1, SUMIF(N:N,N20,Z:Z), "")</f>
        <v/>
      </c>
    </row>
    <row r="21" spans="1:33" x14ac:dyDescent="0.35">
      <c r="A21" s="1">
        <f ca="1">IF(B21="","",COUNTA($B$2:B21))</f>
        <v>20</v>
      </c>
      <c r="B21" s="2">
        <f t="shared" ca="1" si="0"/>
        <v>46193</v>
      </c>
      <c r="C21" s="9" t="s">
        <v>104</v>
      </c>
      <c r="D21" s="9" t="s">
        <v>105</v>
      </c>
      <c r="E21" s="9" t="s">
        <v>106</v>
      </c>
      <c r="F21" s="9" t="s">
        <v>107</v>
      </c>
      <c r="G21" s="9">
        <v>169</v>
      </c>
      <c r="H21" s="9">
        <v>17</v>
      </c>
      <c r="I21" s="10">
        <f>IF(COUNTIF($N$2:N21,N21)=1,
SUMIFS($G:$G,$N:$N,N21),
"")</f>
        <v>2892</v>
      </c>
      <c r="J21" s="10">
        <f t="shared" si="5"/>
        <v>174.38294444444443</v>
      </c>
      <c r="K21" s="11">
        <f t="shared" si="6"/>
        <v>0.72718054814102551</v>
      </c>
      <c r="L21" s="9" t="s">
        <v>35</v>
      </c>
      <c r="M21" s="9" t="s">
        <v>55</v>
      </c>
      <c r="N21" s="9">
        <v>19061917</v>
      </c>
      <c r="O21" s="12">
        <v>0.33333333333333331</v>
      </c>
      <c r="P21" s="13" t="str">
        <f t="shared" si="3"/>
        <v/>
      </c>
      <c r="Q21" s="13" t="s">
        <v>28</v>
      </c>
      <c r="R21" s="9"/>
      <c r="S21" s="9" t="s">
        <v>29</v>
      </c>
      <c r="T21" s="9"/>
      <c r="U21" s="13" t="str">
        <f>IF(OR(R21="", N21="", O21=""), "", "LOT SAU KHOẢNG " &amp; TEXT(IF(R21=5, O21+TIME(2,0,0), IF(OR(R21=7, R21=8), O21+TIME(2,48,0), IF(R21=10, O21+TIME(3,48,0), O21))), "hh:mm"))</f>
        <v/>
      </c>
      <c r="V21" s="9" t="s">
        <v>325</v>
      </c>
      <c r="W21" s="9" t="str">
        <f>VLOOKUP(E21,'[1]CH DCPT CẤP HÀNG'!$B:$I,8,0)</f>
        <v>GHN</v>
      </c>
      <c r="X21" s="13">
        <f>IF(COUNTIFS($N$2:$N21,N21,$E$2:$E21,E21)=1,1,0)</f>
        <v>1</v>
      </c>
      <c r="Y21" s="13">
        <v>166.23794444444442</v>
      </c>
      <c r="Z21" s="13">
        <v>0.60561131737179474</v>
      </c>
      <c r="AA21" s="13" t="str">
        <f>IF(COUNTIF(L$2:L21,L21)=1,SUMIF(L:L,L21,I:I)/SUMIF(L:L,L21,X:X),"")</f>
        <v/>
      </c>
      <c r="AB21" s="13">
        <f>IF(COUNTIF($N$2:N21,N21)=1, SUMIF(N:N,N21,Y:Y), "")</f>
        <v>1911.463326984127</v>
      </c>
      <c r="AC21" s="13">
        <f>IF(COUNTIF($N$2:N21,N21)=1, SUMIF(N:N,N21,Z:Z), "")</f>
        <v>7.3834144259051007</v>
      </c>
      <c r="AD21" s="14" t="s">
        <v>321</v>
      </c>
      <c r="AE21" s="14" t="s">
        <v>322</v>
      </c>
      <c r="AF21" s="15" t="s">
        <v>323</v>
      </c>
      <c r="AG21" s="14" t="s">
        <v>316</v>
      </c>
    </row>
    <row r="22" spans="1:33" x14ac:dyDescent="0.35">
      <c r="A22" s="1">
        <f ca="1">IF(B22="","",COUNTA($B$2:B22))</f>
        <v>21</v>
      </c>
      <c r="B22" s="2">
        <f t="shared" ca="1" si="0"/>
        <v>46193</v>
      </c>
      <c r="C22" s="1" t="s">
        <v>108</v>
      </c>
      <c r="D22" s="1" t="s">
        <v>109</v>
      </c>
      <c r="E22" s="1" t="s">
        <v>106</v>
      </c>
      <c r="F22" s="1" t="s">
        <v>107</v>
      </c>
      <c r="G22" s="1">
        <v>36</v>
      </c>
      <c r="H22" s="9">
        <v>2</v>
      </c>
      <c r="I22" s="7" t="str">
        <f>IF(COUNTIF($N$2:N22,N22)=1,
SUMIFS($G:$G,$N:$N,N22),
"")</f>
        <v/>
      </c>
      <c r="J22" s="7" t="str">
        <f t="shared" si="5"/>
        <v xml:space="preserve"> </v>
      </c>
      <c r="K22" s="4" t="str">
        <f t="shared" si="6"/>
        <v xml:space="preserve"> </v>
      </c>
      <c r="L22" s="1" t="s">
        <v>35</v>
      </c>
      <c r="M22" s="1" t="s">
        <v>55</v>
      </c>
      <c r="N22" s="9">
        <v>19061917</v>
      </c>
      <c r="O22" s="12">
        <v>0.33333333333333331</v>
      </c>
      <c r="P22" s="8" t="str">
        <f t="shared" si="3"/>
        <v/>
      </c>
      <c r="Q22" s="8" t="s">
        <v>28</v>
      </c>
      <c r="S22" s="1" t="s">
        <v>29</v>
      </c>
      <c r="U22" s="8" t="str">
        <f t="shared" si="4"/>
        <v/>
      </c>
      <c r="W22" s="1" t="str">
        <f>VLOOKUP(E22,'[1]CH DCPT CẤP HÀNG'!$B:$I,8,0)</f>
        <v>GHN</v>
      </c>
      <c r="X22" s="8">
        <f>IF(COUNTIFS($N$2:$N22,N22,$E$2:$E22,E22)=1,1,0)</f>
        <v>0</v>
      </c>
      <c r="Y22" s="8">
        <v>8.1449999999999996</v>
      </c>
      <c r="Z22" s="8">
        <v>0.12156923076923076</v>
      </c>
      <c r="AA22" s="8" t="str">
        <f>IF(COUNTIF(L$2:L22,L22)=1,SUMIF(L:L,L22,I:I)/SUMIF(L:L,L22,X:X),"")</f>
        <v/>
      </c>
      <c r="AB22" s="8" t="str">
        <f>IF(COUNTIF($N$2:N22,N22)=1, SUMIF(N:N,N22,Y:Y), "")</f>
        <v/>
      </c>
      <c r="AC22" s="8" t="str">
        <f>IF(COUNTIF($N$2:N22,N22)=1, SUMIF(N:N,N22,Z:Z), "")</f>
        <v/>
      </c>
    </row>
    <row r="23" spans="1:33" x14ac:dyDescent="0.35">
      <c r="A23" s="1">
        <f ca="1">IF(B23="","",COUNTA($B$2:B23))</f>
        <v>22</v>
      </c>
      <c r="B23" s="2">
        <f t="shared" ca="1" si="0"/>
        <v>46193</v>
      </c>
      <c r="C23" s="1" t="s">
        <v>110</v>
      </c>
      <c r="D23" s="1" t="s">
        <v>111</v>
      </c>
      <c r="E23" s="1" t="s">
        <v>112</v>
      </c>
      <c r="F23" s="1" t="s">
        <v>113</v>
      </c>
      <c r="G23" s="1">
        <v>156</v>
      </c>
      <c r="H23" s="9">
        <v>16</v>
      </c>
      <c r="I23" s="3" t="str">
        <f>IF(COUNTIF($N$2:N23,N23)=1,
SUMIFS($G:$G,$N:$N,N23),
"")</f>
        <v/>
      </c>
      <c r="J23" s="3">
        <f t="shared" si="5"/>
        <v>178.24906031746025</v>
      </c>
      <c r="K23" s="4">
        <f t="shared" si="6"/>
        <v>0.54384083670847616</v>
      </c>
      <c r="L23" s="1" t="s">
        <v>35</v>
      </c>
      <c r="M23" s="1" t="s">
        <v>55</v>
      </c>
      <c r="N23" s="9">
        <v>19061917</v>
      </c>
      <c r="O23" s="12">
        <v>0.33333333333333331</v>
      </c>
      <c r="P23" s="5" t="str">
        <f t="shared" si="3"/>
        <v/>
      </c>
      <c r="Q23" s="5" t="s">
        <v>28</v>
      </c>
      <c r="S23" s="1" t="s">
        <v>29</v>
      </c>
      <c r="U23" s="5" t="str">
        <f t="shared" si="4"/>
        <v/>
      </c>
      <c r="W23" s="1" t="str">
        <f>VLOOKUP(E23,'[1]CH DCPT CẤP HÀNG'!$B:$I,8,0)</f>
        <v>GHN</v>
      </c>
      <c r="X23" s="5">
        <f>IF(COUNTIFS($N$2:$N23,N23,$E$2:$E23,E23)=1,1,0)</f>
        <v>1</v>
      </c>
      <c r="Y23" s="5">
        <v>178.24906031746025</v>
      </c>
      <c r="Z23" s="5">
        <v>0.54384083670847616</v>
      </c>
      <c r="AA23" s="5" t="str">
        <f>IF(COUNTIF(L$2:L23,L23)=1,SUMIF(L:L,L23,I:I)/SUMIF(L:L,L23,X:X),"")</f>
        <v/>
      </c>
      <c r="AB23" s="5" t="str">
        <f>IF(COUNTIF($N$2:N23,N23)=1, SUMIF(N:N,N23,Y:Y), "")</f>
        <v/>
      </c>
      <c r="AC23" s="5" t="str">
        <f>IF(COUNTIF($N$2:N23,N23)=1, SUMIF(N:N,N23,Z:Z), "")</f>
        <v/>
      </c>
    </row>
    <row r="24" spans="1:33" x14ac:dyDescent="0.35">
      <c r="A24" s="1">
        <f ca="1">IF(B24="","",COUNTA($B$2:B24))</f>
        <v>23</v>
      </c>
      <c r="B24" s="2">
        <f t="shared" ca="1" si="0"/>
        <v>46193</v>
      </c>
      <c r="C24" s="1" t="s">
        <v>114</v>
      </c>
      <c r="D24" s="1" t="s">
        <v>115</v>
      </c>
      <c r="E24" s="1" t="s">
        <v>116</v>
      </c>
      <c r="F24" s="1" t="s">
        <v>117</v>
      </c>
      <c r="G24" s="1">
        <v>142</v>
      </c>
      <c r="H24" s="9">
        <v>11</v>
      </c>
      <c r="I24" s="3" t="str">
        <f>IF(COUNTIF($N$2:N24,N24)=1,
SUMIFS($G:$G,$N:$N,N24),
"")</f>
        <v/>
      </c>
      <c r="J24" s="3">
        <f t="shared" si="5"/>
        <v>123.2042777777778</v>
      </c>
      <c r="K24" s="4">
        <f t="shared" si="6"/>
        <v>0.56950598850640677</v>
      </c>
      <c r="L24" s="1" t="s">
        <v>35</v>
      </c>
      <c r="M24" s="1" t="s">
        <v>118</v>
      </c>
      <c r="N24" s="9">
        <v>19061917</v>
      </c>
      <c r="O24" s="12">
        <v>0.33333333333333331</v>
      </c>
      <c r="P24" s="5" t="str">
        <f t="shared" si="3"/>
        <v/>
      </c>
      <c r="Q24" s="5" t="s">
        <v>28</v>
      </c>
      <c r="S24" s="1" t="s">
        <v>29</v>
      </c>
      <c r="U24" s="5" t="str">
        <f t="shared" si="4"/>
        <v/>
      </c>
      <c r="W24" s="1" t="str">
        <f>VLOOKUP(E24,'[1]CH DCPT CẤP HÀNG'!$B:$I,8,0)</f>
        <v>GHN</v>
      </c>
      <c r="X24" s="5">
        <f>IF(COUNTIFS($N$2:$N24,N24,$E$2:$E24,E24)=1,1,0)</f>
        <v>1</v>
      </c>
      <c r="Y24" s="5">
        <v>116.2742777777778</v>
      </c>
      <c r="Z24" s="5">
        <v>0.52748810389102219</v>
      </c>
      <c r="AA24" s="5" t="str">
        <f>IF(COUNTIF(L$2:L24,L24)=1,SUMIF(L:L,L24,I:I)/SUMIF(L:L,L24,X:X),"")</f>
        <v/>
      </c>
      <c r="AB24" s="5" t="str">
        <f>IF(COUNTIF($N$2:N24,N24)=1, SUMIF(N:N,N24,Y:Y), "")</f>
        <v/>
      </c>
      <c r="AC24" s="5" t="str">
        <f>IF(COUNTIF($N$2:N24,N24)=1, SUMIF(N:N,N24,Z:Z), "")</f>
        <v/>
      </c>
    </row>
    <row r="25" spans="1:33" x14ac:dyDescent="0.35">
      <c r="A25" s="1">
        <f ca="1">IF(B25="","",COUNTA($B$2:B25))</f>
        <v>24</v>
      </c>
      <c r="B25" s="2">
        <f t="shared" ca="1" si="0"/>
        <v>46193</v>
      </c>
      <c r="C25" s="1" t="s">
        <v>119</v>
      </c>
      <c r="D25" s="1" t="s">
        <v>120</v>
      </c>
      <c r="E25" s="1" t="s">
        <v>116</v>
      </c>
      <c r="F25" s="1" t="s">
        <v>117</v>
      </c>
      <c r="G25" s="1">
        <v>84</v>
      </c>
      <c r="H25" s="9">
        <v>3</v>
      </c>
      <c r="I25" s="3" t="str">
        <f>IF(COUNTIF($N$2:N25,N25)=1,
SUMIFS($G:$G,$N:$N,N25),
"")</f>
        <v/>
      </c>
      <c r="J25" s="3" t="str">
        <f t="shared" si="5"/>
        <v xml:space="preserve"> </v>
      </c>
      <c r="K25" s="4" t="str">
        <f t="shared" si="6"/>
        <v xml:space="preserve"> </v>
      </c>
      <c r="L25" s="1" t="s">
        <v>35</v>
      </c>
      <c r="M25" s="1" t="s">
        <v>118</v>
      </c>
      <c r="N25" s="9">
        <v>19061917</v>
      </c>
      <c r="O25" s="12">
        <v>0.33333333333333331</v>
      </c>
      <c r="P25" s="5" t="str">
        <f t="shared" si="3"/>
        <v/>
      </c>
      <c r="Q25" s="5" t="s">
        <v>28</v>
      </c>
      <c r="S25" s="1" t="s">
        <v>29</v>
      </c>
      <c r="U25" s="5" t="str">
        <f t="shared" si="4"/>
        <v/>
      </c>
      <c r="W25" s="1" t="str">
        <f>VLOOKUP(E25,'[1]CH DCPT CẤP HÀNG'!$B:$I,8,0)</f>
        <v>GHN</v>
      </c>
      <c r="X25" s="5">
        <f>IF(COUNTIFS($N$2:$N25,N25,$E$2:$E25,E25)=1,1,0)</f>
        <v>0</v>
      </c>
      <c r="Y25" s="5">
        <v>6.9300000000000015</v>
      </c>
      <c r="Z25" s="5">
        <v>4.2017884615384624E-2</v>
      </c>
      <c r="AA25" s="5" t="str">
        <f>IF(COUNTIF(L$2:L25,L25)=1,SUMIF(L:L,L25,I:I)/SUMIF(L:L,L25,X:X),"")</f>
        <v/>
      </c>
      <c r="AB25" s="5" t="str">
        <f>IF(COUNTIF($N$2:N25,N25)=1, SUMIF(N:N,N25,Y:Y), "")</f>
        <v/>
      </c>
      <c r="AC25" s="5" t="str">
        <f>IF(COUNTIF($N$2:N25,N25)=1, SUMIF(N:N,N25,Z:Z), "")</f>
        <v/>
      </c>
    </row>
    <row r="26" spans="1:33" x14ac:dyDescent="0.35">
      <c r="A26" s="1">
        <f ca="1">IF(B26="","",COUNTA($B$2:B26))</f>
        <v>25</v>
      </c>
      <c r="B26" s="2">
        <f t="shared" ca="1" si="0"/>
        <v>46193</v>
      </c>
      <c r="C26" s="1" t="s">
        <v>121</v>
      </c>
      <c r="D26" s="1" t="s">
        <v>122</v>
      </c>
      <c r="E26" s="1" t="s">
        <v>123</v>
      </c>
      <c r="F26" s="1" t="s">
        <v>124</v>
      </c>
      <c r="G26" s="1">
        <v>268</v>
      </c>
      <c r="H26" s="9">
        <v>17</v>
      </c>
      <c r="I26" s="3" t="str">
        <f>IF(COUNTIF($N$2:N26,N26)=1,
SUMIFS($G:$G,$N:$N,N26),
"")</f>
        <v/>
      </c>
      <c r="J26" s="3">
        <f t="shared" si="5"/>
        <v>158.61446349206352</v>
      </c>
      <c r="K26" s="4">
        <f t="shared" si="6"/>
        <v>0.47097876291295337</v>
      </c>
      <c r="L26" s="1" t="s">
        <v>35</v>
      </c>
      <c r="M26" s="1" t="s">
        <v>118</v>
      </c>
      <c r="N26" s="9">
        <v>19061917</v>
      </c>
      <c r="O26" s="12">
        <v>0.33333333333333331</v>
      </c>
      <c r="P26" s="5" t="str">
        <f t="shared" si="3"/>
        <v/>
      </c>
      <c r="Q26" s="5" t="s">
        <v>28</v>
      </c>
      <c r="S26" s="1" t="s">
        <v>29</v>
      </c>
      <c r="U26" s="5" t="str">
        <f t="shared" si="4"/>
        <v/>
      </c>
      <c r="W26" s="1" t="str">
        <f>VLOOKUP(E26,'[1]CH DCPT CẤP HÀNG'!$B:$I,8,0)</f>
        <v>GHN</v>
      </c>
      <c r="X26" s="5">
        <f>IF(COUNTIFS($N$2:$N26,N26,$E$2:$E26,E26)=1,1,0)</f>
        <v>1</v>
      </c>
      <c r="Y26" s="5">
        <v>152.17946349206352</v>
      </c>
      <c r="Z26" s="5">
        <v>0.44356337829756876</v>
      </c>
      <c r="AA26" s="5" t="str">
        <f>IF(COUNTIF(L$2:L26,L26)=1,SUMIF(L:L,L26,I:I)/SUMIF(L:L,L26,X:X),"")</f>
        <v/>
      </c>
      <c r="AB26" s="5" t="str">
        <f>IF(COUNTIF($N$2:N26,N26)=1, SUMIF(N:N,N26,Y:Y), "")</f>
        <v/>
      </c>
      <c r="AC26" s="5" t="str">
        <f>IF(COUNTIF($N$2:N26,N26)=1, SUMIF(N:N,N26,Z:Z), "")</f>
        <v/>
      </c>
    </row>
    <row r="27" spans="1:33" x14ac:dyDescent="0.35">
      <c r="A27" s="1">
        <f ca="1">IF(B27="","",COUNTA($B$2:B27))</f>
        <v>26</v>
      </c>
      <c r="B27" s="2">
        <f t="shared" ca="1" si="0"/>
        <v>46193</v>
      </c>
      <c r="C27" s="1" t="s">
        <v>125</v>
      </c>
      <c r="D27" s="1" t="s">
        <v>126</v>
      </c>
      <c r="E27" s="1" t="s">
        <v>123</v>
      </c>
      <c r="F27" s="1" t="s">
        <v>124</v>
      </c>
      <c r="G27" s="1">
        <v>90</v>
      </c>
      <c r="H27" s="9">
        <v>3</v>
      </c>
      <c r="I27" s="3" t="str">
        <f>IF(COUNTIF($N$2:N27,N27)=1,
SUMIFS($G:$G,$N:$N,N27),
"")</f>
        <v/>
      </c>
      <c r="J27" s="3" t="str">
        <f t="shared" si="5"/>
        <v xml:space="preserve"> </v>
      </c>
      <c r="K27" s="4" t="str">
        <f t="shared" si="6"/>
        <v xml:space="preserve"> </v>
      </c>
      <c r="L27" s="1" t="s">
        <v>35</v>
      </c>
      <c r="M27" s="1" t="s">
        <v>118</v>
      </c>
      <c r="N27" s="9">
        <v>19061917</v>
      </c>
      <c r="O27" s="12">
        <v>0.33333333333333331</v>
      </c>
      <c r="P27" s="5" t="str">
        <f t="shared" si="3"/>
        <v/>
      </c>
      <c r="Q27" s="5" t="s">
        <v>28</v>
      </c>
      <c r="S27" s="1" t="s">
        <v>29</v>
      </c>
      <c r="U27" s="5" t="str">
        <f t="shared" si="4"/>
        <v/>
      </c>
      <c r="W27" s="1" t="str">
        <f>VLOOKUP(E27,'[1]CH DCPT CẤP HÀNG'!$B:$I,8,0)</f>
        <v>GHN</v>
      </c>
      <c r="X27" s="5">
        <f>IF(COUNTIFS($N$2:$N27,N27,$E$2:$E27,E27)=1,1,0)</f>
        <v>0</v>
      </c>
      <c r="Y27" s="5">
        <v>6.4350000000000014</v>
      </c>
      <c r="Z27" s="5">
        <v>2.7415384615384619E-2</v>
      </c>
      <c r="AA27" s="5" t="str">
        <f>IF(COUNTIF(L$2:L27,L27)=1,SUMIF(L:L,L27,I:I)/SUMIF(L:L,L27,X:X),"")</f>
        <v/>
      </c>
      <c r="AB27" s="5" t="str">
        <f>IF(COUNTIF($N$2:N27,N27)=1, SUMIF(N:N,N27,Y:Y), "")</f>
        <v/>
      </c>
      <c r="AC27" s="5" t="str">
        <f>IF(COUNTIF($N$2:N27,N27)=1, SUMIF(N:N,N27,Z:Z), "")</f>
        <v/>
      </c>
    </row>
    <row r="28" spans="1:33" x14ac:dyDescent="0.35">
      <c r="A28" s="1">
        <f ca="1">IF(B28="","",COUNTA($B$2:B28))</f>
        <v>27</v>
      </c>
      <c r="B28" s="2">
        <f t="shared" ca="1" si="0"/>
        <v>46193</v>
      </c>
      <c r="C28" s="1" t="s">
        <v>127</v>
      </c>
      <c r="D28" s="1" t="s">
        <v>128</v>
      </c>
      <c r="E28" s="1" t="s">
        <v>129</v>
      </c>
      <c r="F28" s="1" t="s">
        <v>130</v>
      </c>
      <c r="G28" s="1">
        <v>182</v>
      </c>
      <c r="H28" s="9">
        <v>10</v>
      </c>
      <c r="I28" s="3" t="str">
        <f>IF(COUNTIF($N$2:N28,N28)=1,
SUMIFS($G:$G,$N:$N,N28),
"")</f>
        <v/>
      </c>
      <c r="J28" s="3">
        <f t="shared" si="5"/>
        <v>142.08738888888891</v>
      </c>
      <c r="K28" s="4">
        <f t="shared" si="6"/>
        <v>0.59593227662820525</v>
      </c>
      <c r="L28" s="1" t="s">
        <v>35</v>
      </c>
      <c r="M28" s="1" t="s">
        <v>118</v>
      </c>
      <c r="N28" s="9">
        <v>19061917</v>
      </c>
      <c r="O28" s="12">
        <v>0.33333333333333331</v>
      </c>
      <c r="P28" s="5" t="str">
        <f t="shared" si="3"/>
        <v/>
      </c>
      <c r="Q28" s="5" t="s">
        <v>28</v>
      </c>
      <c r="S28" s="1" t="s">
        <v>29</v>
      </c>
      <c r="U28" s="5" t="str">
        <f t="shared" si="4"/>
        <v/>
      </c>
      <c r="W28" s="1" t="str">
        <f>VLOOKUP(E28,'[1]CH DCPT CẤP HÀNG'!$B:$I,8,0)</f>
        <v>GHN</v>
      </c>
      <c r="X28" s="5">
        <f>IF(COUNTIFS($N$2:$N28,N28,$E$2:$E28,E28)=1,1,0)</f>
        <v>1</v>
      </c>
      <c r="Y28" s="5">
        <v>130.9663888888889</v>
      </c>
      <c r="Z28" s="5">
        <v>0.5714411997051283</v>
      </c>
      <c r="AA28" s="5" t="str">
        <f>IF(COUNTIF(L$2:L28,L28)=1,SUMIF(L:L,L28,I:I)/SUMIF(L:L,L28,X:X),"")</f>
        <v/>
      </c>
      <c r="AB28" s="5" t="str">
        <f>IF(COUNTIF($N$2:N28,N28)=1, SUMIF(N:N,N28,Y:Y), "")</f>
        <v/>
      </c>
      <c r="AC28" s="5" t="str">
        <f>IF(COUNTIF($N$2:N28,N28)=1, SUMIF(N:N,N28,Z:Z), "")</f>
        <v/>
      </c>
    </row>
    <row r="29" spans="1:33" x14ac:dyDescent="0.35">
      <c r="A29" s="1">
        <f ca="1">IF(B29="","",COUNTA($B$2:B29))</f>
        <v>28</v>
      </c>
      <c r="B29" s="2">
        <f t="shared" ca="1" si="0"/>
        <v>46193</v>
      </c>
      <c r="C29" s="1" t="s">
        <v>131</v>
      </c>
      <c r="D29" s="1" t="s">
        <v>132</v>
      </c>
      <c r="E29" s="1" t="s">
        <v>129</v>
      </c>
      <c r="F29" s="1" t="s">
        <v>130</v>
      </c>
      <c r="G29" s="1">
        <v>54</v>
      </c>
      <c r="H29" s="9">
        <v>2</v>
      </c>
      <c r="I29" s="3" t="str">
        <f>IF(COUNTIF($N$2:N29,N29)=1,
SUMIFS($G:$G,$N:$N,N29),
"")</f>
        <v/>
      </c>
      <c r="J29" s="3" t="str">
        <f t="shared" si="5"/>
        <v xml:space="preserve"> </v>
      </c>
      <c r="K29" s="4" t="str">
        <f t="shared" si="6"/>
        <v xml:space="preserve"> </v>
      </c>
      <c r="L29" s="1" t="s">
        <v>35</v>
      </c>
      <c r="M29" s="1" t="s">
        <v>118</v>
      </c>
      <c r="N29" s="9">
        <v>19061917</v>
      </c>
      <c r="O29" s="12">
        <v>0.33333333333333331</v>
      </c>
      <c r="P29" s="5" t="str">
        <f t="shared" si="3"/>
        <v/>
      </c>
      <c r="Q29" s="5" t="s">
        <v>28</v>
      </c>
      <c r="S29" s="1" t="s">
        <v>29</v>
      </c>
      <c r="U29" s="5" t="str">
        <f t="shared" si="4"/>
        <v/>
      </c>
      <c r="W29" s="1" t="str">
        <f>VLOOKUP(E29,'[1]CH DCPT CẤP HÀNG'!$B:$I,8,0)</f>
        <v>GHN</v>
      </c>
      <c r="X29" s="5">
        <f>IF(COUNTIFS($N$2:$N29,N29,$E$2:$E29,E29)=1,1,0)</f>
        <v>0</v>
      </c>
      <c r="Y29" s="5">
        <v>11.121000000000002</v>
      </c>
      <c r="Z29" s="5">
        <v>2.4491076923076924E-2</v>
      </c>
      <c r="AA29" s="5" t="str">
        <f>IF(COUNTIF(L$2:L29,L29)=1,SUMIF(L:L,L29,I:I)/SUMIF(L:L,L29,X:X),"")</f>
        <v/>
      </c>
      <c r="AB29" s="5" t="str">
        <f>IF(COUNTIF($N$2:N29,N29)=1, SUMIF(N:N,N29,Y:Y), "")</f>
        <v/>
      </c>
      <c r="AC29" s="5" t="str">
        <f>IF(COUNTIF($N$2:N29,N29)=1, SUMIF(N:N,N29,Z:Z), "")</f>
        <v/>
      </c>
    </row>
    <row r="30" spans="1:33" x14ac:dyDescent="0.35">
      <c r="A30" s="1">
        <f ca="1">IF(B30="","",COUNTA($B$2:B30))</f>
        <v>29</v>
      </c>
      <c r="B30" s="2">
        <f t="shared" ca="1" si="0"/>
        <v>46193</v>
      </c>
      <c r="C30" s="1" t="s">
        <v>133</v>
      </c>
      <c r="D30" s="1" t="s">
        <v>134</v>
      </c>
      <c r="E30" s="1" t="s">
        <v>135</v>
      </c>
      <c r="F30" s="1" t="s">
        <v>136</v>
      </c>
      <c r="G30" s="1">
        <v>312</v>
      </c>
      <c r="H30" s="9">
        <v>24</v>
      </c>
      <c r="I30" s="3" t="str">
        <f>IF(COUNTIF($N$2:N30,N30)=1,
SUMIFS($G:$G,$N:$N,N30),
"")</f>
        <v/>
      </c>
      <c r="J30" s="3">
        <f t="shared" si="5"/>
        <v>289.17588571428576</v>
      </c>
      <c r="K30" s="4">
        <f t="shared" si="6"/>
        <v>1.4214650629725145</v>
      </c>
      <c r="L30" s="1" t="s">
        <v>35</v>
      </c>
      <c r="M30" s="1" t="s">
        <v>118</v>
      </c>
      <c r="N30" s="9">
        <v>19061917</v>
      </c>
      <c r="O30" s="12">
        <v>0.33333333333333331</v>
      </c>
      <c r="P30" s="5" t="str">
        <f t="shared" si="3"/>
        <v/>
      </c>
      <c r="Q30" s="5" t="s">
        <v>28</v>
      </c>
      <c r="S30" s="1" t="s">
        <v>29</v>
      </c>
      <c r="U30" s="5" t="str">
        <f t="shared" si="4"/>
        <v/>
      </c>
      <c r="W30" s="1" t="str">
        <f>VLOOKUP(E30,'[1]CH DCPT CẤP HÀNG'!$B:$I,8,0)</f>
        <v>GHN</v>
      </c>
      <c r="X30" s="5">
        <f>IF(COUNTIFS($N$2:$N30,N30,$E$2:$E30,E30)=1,1,0)</f>
        <v>1</v>
      </c>
      <c r="Y30" s="5">
        <v>269.64288571428574</v>
      </c>
      <c r="Z30" s="5">
        <v>1.3690431183571299</v>
      </c>
      <c r="AA30" s="5" t="str">
        <f>IF(COUNTIF(L$2:L30,L30)=1,SUMIF(L:L,L30,I:I)/SUMIF(L:L,L30,X:X),"")</f>
        <v/>
      </c>
      <c r="AB30" s="5" t="str">
        <f>IF(COUNTIF($N$2:N30,N30)=1, SUMIF(N:N,N30,Y:Y), "")</f>
        <v/>
      </c>
      <c r="AC30" s="5" t="str">
        <f>IF(COUNTIF($N$2:N30,N30)=1, SUMIF(N:N,N30,Z:Z), "")</f>
        <v/>
      </c>
    </row>
    <row r="31" spans="1:33" x14ac:dyDescent="0.35">
      <c r="A31" s="1">
        <f ca="1">IF(B31="","",COUNTA($B$2:B31))</f>
        <v>30</v>
      </c>
      <c r="B31" s="2">
        <f t="shared" ca="1" si="0"/>
        <v>46193</v>
      </c>
      <c r="C31" s="1" t="s">
        <v>137</v>
      </c>
      <c r="D31" s="1" t="s">
        <v>138</v>
      </c>
      <c r="E31" s="1" t="s">
        <v>135</v>
      </c>
      <c r="F31" s="1" t="s">
        <v>136</v>
      </c>
      <c r="G31" s="1">
        <v>84</v>
      </c>
      <c r="H31" s="9">
        <v>3</v>
      </c>
      <c r="I31" s="3" t="str">
        <f>IF(COUNTIF($N$2:N31,N31)=1,
SUMIFS($G:$G,$N:$N,N31),
"")</f>
        <v/>
      </c>
      <c r="J31" s="3" t="str">
        <f t="shared" si="5"/>
        <v xml:space="preserve"> </v>
      </c>
      <c r="K31" s="4" t="str">
        <f t="shared" si="6"/>
        <v xml:space="preserve"> </v>
      </c>
      <c r="L31" s="1" t="s">
        <v>35</v>
      </c>
      <c r="M31" s="1" t="s">
        <v>118</v>
      </c>
      <c r="N31" s="9">
        <v>19061917</v>
      </c>
      <c r="O31" s="12">
        <v>0.33333333333333331</v>
      </c>
      <c r="P31" s="5" t="str">
        <f t="shared" si="3"/>
        <v/>
      </c>
      <c r="Q31" s="5" t="s">
        <v>28</v>
      </c>
      <c r="S31" s="1" t="s">
        <v>29</v>
      </c>
      <c r="U31" s="5" t="str">
        <f t="shared" si="4"/>
        <v/>
      </c>
      <c r="W31" s="1" t="str">
        <f>VLOOKUP(E31,'[1]CH DCPT CẤP HÀNG'!$B:$I,8,0)</f>
        <v>GHN</v>
      </c>
      <c r="X31" s="5">
        <f>IF(COUNTIFS($N$2:$N31,N31,$E$2:$E31,E31)=1,1,0)</f>
        <v>0</v>
      </c>
      <c r="Y31" s="5">
        <v>19.533000000000005</v>
      </c>
      <c r="Z31" s="5">
        <v>5.2421944615384616E-2</v>
      </c>
      <c r="AA31" s="5" t="str">
        <f>IF(COUNTIF(L$2:L31,L31)=1,SUMIF(L:L,L31,I:I)/SUMIF(L:L,L31,X:X),"")</f>
        <v/>
      </c>
      <c r="AB31" s="5" t="str">
        <f>IF(COUNTIF($N$2:N31,N31)=1, SUMIF(N:N,N31,Y:Y), "")</f>
        <v/>
      </c>
      <c r="AC31" s="5" t="str">
        <f>IF(COUNTIF($N$2:N31,N31)=1, SUMIF(N:N,N31,Z:Z), "")</f>
        <v/>
      </c>
    </row>
    <row r="32" spans="1:33" x14ac:dyDescent="0.35">
      <c r="A32" s="1">
        <f ca="1">IF(B32="","",COUNTA($B$2:B32))</f>
        <v>31</v>
      </c>
      <c r="B32" s="2">
        <f t="shared" ca="1" si="0"/>
        <v>46193</v>
      </c>
      <c r="C32" s="1" t="s">
        <v>139</v>
      </c>
      <c r="D32" s="1" t="s">
        <v>140</v>
      </c>
      <c r="E32" s="1" t="s">
        <v>141</v>
      </c>
      <c r="F32" s="1" t="s">
        <v>142</v>
      </c>
      <c r="G32" s="1">
        <v>275</v>
      </c>
      <c r="H32" s="9">
        <v>21</v>
      </c>
      <c r="I32" s="3" t="str">
        <f>IF(COUNTIF($N$2:N32,N32)=1,
SUMIFS($G:$G,$N:$N,N32),
"")</f>
        <v/>
      </c>
      <c r="J32" s="3">
        <f t="shared" si="5"/>
        <v>249.17768730158733</v>
      </c>
      <c r="K32" s="4">
        <f t="shared" si="6"/>
        <v>0.94431498371575806</v>
      </c>
      <c r="L32" s="1" t="s">
        <v>35</v>
      </c>
      <c r="M32" s="1" t="s">
        <v>118</v>
      </c>
      <c r="N32" s="9">
        <v>19061917</v>
      </c>
      <c r="O32" s="12">
        <v>0.33333333333333331</v>
      </c>
      <c r="P32" s="5" t="str">
        <f t="shared" si="3"/>
        <v/>
      </c>
      <c r="Q32" s="5" t="s">
        <v>28</v>
      </c>
      <c r="S32" s="1" t="s">
        <v>29</v>
      </c>
      <c r="U32" s="5" t="str">
        <f t="shared" si="4"/>
        <v/>
      </c>
      <c r="W32" s="1" t="str">
        <f>VLOOKUP(E32,'[1]CH DCPT CẤP HÀNG'!$B:$I,8,0)</f>
        <v>GHN</v>
      </c>
      <c r="X32" s="5">
        <f>IF(COUNTIFS($N$2:$N32,N32,$E$2:$E32,E32)=1,1,0)</f>
        <v>1</v>
      </c>
      <c r="Y32" s="5">
        <v>219.93968730158733</v>
      </c>
      <c r="Z32" s="5">
        <v>0.78049496217729653</v>
      </c>
      <c r="AA32" s="5" t="str">
        <f>IF(COUNTIF(L$2:L32,L32)=1,SUMIF(L:L,L32,I:I)/SUMIF(L:L,L32,X:X),"")</f>
        <v/>
      </c>
      <c r="AB32" s="5" t="str">
        <f>IF(COUNTIF($N$2:N32,N32)=1, SUMIF(N:N,N32,Y:Y), "")</f>
        <v/>
      </c>
      <c r="AC32" s="5" t="str">
        <f>IF(COUNTIF($N$2:N32,N32)=1, SUMIF(N:N,N32,Z:Z), "")</f>
        <v/>
      </c>
    </row>
    <row r="33" spans="1:33" x14ac:dyDescent="0.35">
      <c r="A33" s="1">
        <f ca="1">IF(B33="","",COUNTA($B$2:B33))</f>
        <v>32</v>
      </c>
      <c r="B33" s="2">
        <f t="shared" ca="1" si="0"/>
        <v>46193</v>
      </c>
      <c r="C33" s="1" t="s">
        <v>143</v>
      </c>
      <c r="D33" s="1" t="s">
        <v>144</v>
      </c>
      <c r="E33" s="1" t="s">
        <v>141</v>
      </c>
      <c r="F33" s="1" t="s">
        <v>142</v>
      </c>
      <c r="G33" s="1">
        <v>84</v>
      </c>
      <c r="H33" s="9">
        <v>4</v>
      </c>
      <c r="I33" s="3" t="str">
        <f>IF(COUNTIF($N$2:N33,N33)=1,
SUMIFS($G:$G,$N:$N,N33),
"")</f>
        <v/>
      </c>
      <c r="J33" s="3" t="str">
        <f t="shared" si="5"/>
        <v xml:space="preserve"> </v>
      </c>
      <c r="K33" s="4" t="str">
        <f t="shared" si="6"/>
        <v xml:space="preserve"> </v>
      </c>
      <c r="L33" s="1" t="s">
        <v>35</v>
      </c>
      <c r="M33" s="1" t="s">
        <v>118</v>
      </c>
      <c r="N33" s="9">
        <v>19061917</v>
      </c>
      <c r="O33" s="12">
        <v>0.33333333333333331</v>
      </c>
      <c r="P33" s="5" t="str">
        <f t="shared" si="3"/>
        <v/>
      </c>
      <c r="Q33" s="5" t="s">
        <v>28</v>
      </c>
      <c r="S33" s="1" t="s">
        <v>29</v>
      </c>
      <c r="U33" s="5" t="str">
        <f t="shared" si="4"/>
        <v/>
      </c>
      <c r="W33" s="1" t="str">
        <f>VLOOKUP(E33,'[1]CH DCPT CẤP HÀNG'!$B:$I,8,0)</f>
        <v>GHN</v>
      </c>
      <c r="X33" s="5">
        <f>IF(COUNTIFS($N$2:$N33,N33,$E$2:$E33,E33)=1,1,0)</f>
        <v>0</v>
      </c>
      <c r="Y33" s="5">
        <v>29.238000000000003</v>
      </c>
      <c r="Z33" s="5">
        <v>0.16382002153846154</v>
      </c>
      <c r="AA33" s="5" t="str">
        <f>IF(COUNTIF(L$2:L33,L33)=1,SUMIF(L:L,L33,I:I)/SUMIF(L:L,L33,X:X),"")</f>
        <v/>
      </c>
      <c r="AB33" s="5" t="str">
        <f>IF(COUNTIF($N$2:N33,N33)=1, SUMIF(N:N,N33,Y:Y), "")</f>
        <v/>
      </c>
      <c r="AC33" s="5" t="str">
        <f>IF(COUNTIF($N$2:N33,N33)=1, SUMIF(N:N,N33,Z:Z), "")</f>
        <v/>
      </c>
    </row>
    <row r="34" spans="1:33" x14ac:dyDescent="0.35">
      <c r="A34" s="1">
        <f ca="1">IF(B34="","",COUNTA($B$2:B34))</f>
        <v>33</v>
      </c>
      <c r="B34" s="2">
        <f t="shared" ca="1" si="0"/>
        <v>46193</v>
      </c>
      <c r="C34" s="1" t="s">
        <v>145</v>
      </c>
      <c r="D34" s="1" t="s">
        <v>146</v>
      </c>
      <c r="E34" s="1" t="s">
        <v>147</v>
      </c>
      <c r="F34" s="1" t="s">
        <v>148</v>
      </c>
      <c r="G34" s="1">
        <v>203</v>
      </c>
      <c r="H34" s="9">
        <v>12</v>
      </c>
      <c r="I34" s="3" t="str">
        <f>IF(COUNTIF($N$2:N34,N34)=1,
SUMIFS($G:$G,$N:$N,N34),
"")</f>
        <v/>
      </c>
      <c r="J34" s="3">
        <f t="shared" si="5"/>
        <v>136.65211111111111</v>
      </c>
      <c r="K34" s="4">
        <f t="shared" si="6"/>
        <v>0.51549496891487179</v>
      </c>
      <c r="L34" s="1" t="s">
        <v>35</v>
      </c>
      <c r="M34" s="1" t="s">
        <v>118</v>
      </c>
      <c r="N34" s="9">
        <v>19061917</v>
      </c>
      <c r="O34" s="12">
        <v>0.33333333333333331</v>
      </c>
      <c r="P34" s="5" t="str">
        <f t="shared" si="3"/>
        <v/>
      </c>
      <c r="Q34" s="5" t="s">
        <v>28</v>
      </c>
      <c r="S34" s="1" t="s">
        <v>29</v>
      </c>
      <c r="U34" s="5" t="str">
        <f t="shared" si="4"/>
        <v/>
      </c>
      <c r="W34" s="1" t="str">
        <f>VLOOKUP(E34,'[1]CH DCPT CẤP HÀNG'!$B:$I,8,0)</f>
        <v>GHN</v>
      </c>
      <c r="X34" s="5">
        <f>IF(COUNTIFS($N$2:$N34,N34,$E$2:$E34,E34)=1,1,0)</f>
        <v>1</v>
      </c>
      <c r="Y34" s="5">
        <v>101.74311111111111</v>
      </c>
      <c r="Z34" s="5">
        <v>0.45181299421948712</v>
      </c>
      <c r="AA34" s="5" t="str">
        <f>IF(COUNTIF(L$2:L34,L34)=1,SUMIF(L:L,L34,I:I)/SUMIF(L:L,L34,X:X),"")</f>
        <v/>
      </c>
      <c r="AB34" s="5" t="str">
        <f>IF(COUNTIF($N$2:N34,N34)=1, SUMIF(N:N,N34,Y:Y), "")</f>
        <v/>
      </c>
      <c r="AC34" s="5" t="str">
        <f>IF(COUNTIF($N$2:N34,N34)=1, SUMIF(N:N,N34,Z:Z), "")</f>
        <v/>
      </c>
    </row>
    <row r="35" spans="1:33" x14ac:dyDescent="0.35">
      <c r="A35" s="1">
        <f ca="1">IF(B35="","",COUNTA($B$2:B35))</f>
        <v>34</v>
      </c>
      <c r="B35" s="2">
        <f t="shared" ca="1" si="0"/>
        <v>46193</v>
      </c>
      <c r="C35" s="1" t="s">
        <v>149</v>
      </c>
      <c r="D35" s="1" t="s">
        <v>150</v>
      </c>
      <c r="E35" s="1" t="s">
        <v>147</v>
      </c>
      <c r="F35" s="1" t="s">
        <v>148</v>
      </c>
      <c r="G35" s="1">
        <v>102</v>
      </c>
      <c r="H35" s="9">
        <v>4</v>
      </c>
      <c r="I35" s="3" t="str">
        <f>IF(COUNTIF($N$2:N35,N35)=1,
SUMIFS($G:$G,$N:$N,N35),
"")</f>
        <v/>
      </c>
      <c r="J35" s="3" t="str">
        <f t="shared" si="5"/>
        <v xml:space="preserve"> </v>
      </c>
      <c r="K35" s="4" t="str">
        <f t="shared" si="6"/>
        <v xml:space="preserve"> </v>
      </c>
      <c r="L35" s="1" t="s">
        <v>35</v>
      </c>
      <c r="M35" s="1" t="s">
        <v>118</v>
      </c>
      <c r="N35" s="9">
        <v>19061917</v>
      </c>
      <c r="O35" s="12">
        <v>0.33333333333333331</v>
      </c>
      <c r="P35" s="5" t="str">
        <f t="shared" si="3"/>
        <v/>
      </c>
      <c r="Q35" s="5" t="s">
        <v>28</v>
      </c>
      <c r="S35" s="1" t="s">
        <v>29</v>
      </c>
      <c r="U35" s="5" t="str">
        <f t="shared" si="4"/>
        <v/>
      </c>
      <c r="W35" s="1" t="str">
        <f>VLOOKUP(E35,'[1]CH DCPT CẤP HÀNG'!$B:$I,8,0)</f>
        <v>GHN</v>
      </c>
      <c r="X35" s="5">
        <f>IF(COUNTIFS($N$2:$N35,N35,$E$2:$E35,E35)=1,1,0)</f>
        <v>0</v>
      </c>
      <c r="Y35" s="5">
        <v>34.909000000000006</v>
      </c>
      <c r="Z35" s="5">
        <v>6.3681974695384613E-2</v>
      </c>
      <c r="AA35" s="5" t="str">
        <f>IF(COUNTIF(L$2:L35,L35)=1,SUMIF(L:L,L35,I:I)/SUMIF(L:L,L35,X:X),"")</f>
        <v/>
      </c>
      <c r="AB35" s="5" t="str">
        <f>IF(COUNTIF($N$2:N35,N35)=1, SUMIF(N:N,N35,Y:Y), "")</f>
        <v/>
      </c>
      <c r="AC35" s="5" t="str">
        <f>IF(COUNTIF($N$2:N35,N35)=1, SUMIF(N:N,N35,Z:Z), "")</f>
        <v/>
      </c>
    </row>
    <row r="36" spans="1:33" x14ac:dyDescent="0.35">
      <c r="A36" s="1">
        <f ca="1">IF(B36="","",COUNTA($B$2:B36))</f>
        <v>35</v>
      </c>
      <c r="B36" s="2">
        <f t="shared" ca="1" si="0"/>
        <v>46193</v>
      </c>
      <c r="C36" s="1" t="s">
        <v>51</v>
      </c>
      <c r="D36" s="1" t="s">
        <v>52</v>
      </c>
      <c r="E36" s="1" t="s">
        <v>53</v>
      </c>
      <c r="F36" s="1" t="s">
        <v>54</v>
      </c>
      <c r="G36" s="1">
        <v>244</v>
      </c>
      <c r="H36" s="9">
        <v>18</v>
      </c>
      <c r="I36" s="3" t="str">
        <f>IF(COUNTIF($N$2:N36,N36)=1,
SUMIFS($G:$G,$N:$N,N36),
"")</f>
        <v/>
      </c>
      <c r="J36" s="3">
        <f>IF(E36&lt;&gt;E7,SUMIF(E:E,E36,Y:Y)," ")</f>
        <v>219.20538888888888</v>
      </c>
      <c r="K36" s="4">
        <f>IF(E36&lt;&gt;E7,SUMIF(E:E,E36,Z:Z)," ")</f>
        <v>0.76986412456730746</v>
      </c>
      <c r="L36" s="1" t="s">
        <v>35</v>
      </c>
      <c r="M36" s="1" t="s">
        <v>55</v>
      </c>
      <c r="N36" s="9">
        <v>19061917</v>
      </c>
      <c r="O36" s="12">
        <v>0.33333333333333331</v>
      </c>
      <c r="P36" s="5" t="str">
        <f t="shared" si="3"/>
        <v/>
      </c>
      <c r="Q36" s="5" t="s">
        <v>28</v>
      </c>
      <c r="S36" s="1" t="s">
        <v>29</v>
      </c>
      <c r="U36" s="5" t="str">
        <f t="shared" si="4"/>
        <v/>
      </c>
      <c r="W36" s="1" t="str">
        <f>VLOOKUP(E36,'[1]CH DCPT CẤP HÀNG'!$B:$I,8,0)</f>
        <v>GHN</v>
      </c>
      <c r="X36" s="5">
        <f>IF(COUNTIFS($N$2:$N36,N36,$E$2:$E36,E36)=1,1,0)</f>
        <v>1</v>
      </c>
      <c r="Y36" s="5">
        <v>215.84538888888886</v>
      </c>
      <c r="Z36" s="5">
        <v>0.75029777841346135</v>
      </c>
      <c r="AA36" s="5" t="str">
        <f>IF(COUNTIF(L$2:L36,L36)=1,SUMIF(L:L,L36,I:I)/SUMIF(L:L,L36,X:X),"")</f>
        <v/>
      </c>
      <c r="AB36" s="5" t="str">
        <f>IF(COUNTIF($N$2:N36,N36)=1, SUMIF(N:N,N36,Y:Y), "")</f>
        <v/>
      </c>
      <c r="AC36" s="5" t="str">
        <f>IF(COUNTIF($N$2:N36,N36)=1, SUMIF(N:N,N36,Z:Z), "")</f>
        <v/>
      </c>
    </row>
    <row r="37" spans="1:33" x14ac:dyDescent="0.35">
      <c r="A37" s="1">
        <f ca="1">IF(B37="","",COUNTA($B$2:B37))</f>
        <v>36</v>
      </c>
      <c r="B37" s="2">
        <f t="shared" ca="1" si="0"/>
        <v>46193</v>
      </c>
      <c r="C37" s="1" t="s">
        <v>56</v>
      </c>
      <c r="D37" s="1" t="s">
        <v>57</v>
      </c>
      <c r="E37" s="1" t="s">
        <v>53</v>
      </c>
      <c r="F37" s="1" t="s">
        <v>54</v>
      </c>
      <c r="G37" s="1">
        <v>24</v>
      </c>
      <c r="H37" s="9">
        <v>1</v>
      </c>
      <c r="I37" s="3" t="str">
        <f>IF(COUNTIF($N$2:N37,N37)=1,
SUMIFS($G:$G,$N:$N,N37),
"")</f>
        <v/>
      </c>
      <c r="J37" s="3" t="str">
        <f>IF(E37&lt;&gt;E36,SUMIF(E:E,E37,Y:Y)," ")</f>
        <v xml:space="preserve"> </v>
      </c>
      <c r="K37" s="4" t="str">
        <f>IF(E37&lt;&gt;E36,SUMIF(E:E,E37,Z:Z)," ")</f>
        <v xml:space="preserve"> </v>
      </c>
      <c r="L37" s="1" t="s">
        <v>35</v>
      </c>
      <c r="M37" s="1" t="s">
        <v>55</v>
      </c>
      <c r="N37" s="9">
        <v>19061917</v>
      </c>
      <c r="O37" s="12">
        <v>0.33333333333333331</v>
      </c>
      <c r="P37" s="5" t="str">
        <f t="shared" si="3"/>
        <v/>
      </c>
      <c r="Q37" s="5" t="s">
        <v>28</v>
      </c>
      <c r="S37" s="1" t="s">
        <v>29</v>
      </c>
      <c r="U37" s="5" t="str">
        <f t="shared" si="4"/>
        <v/>
      </c>
      <c r="W37" s="1" t="str">
        <f>VLOOKUP(E37,'[1]CH DCPT CẤP HÀNG'!$B:$I,8,0)</f>
        <v>GHN</v>
      </c>
      <c r="X37" s="5">
        <f>IF(COUNTIFS($N$2:$N37,N37,$E$2:$E37,E37)=1,1,0)</f>
        <v>0</v>
      </c>
      <c r="Y37" s="5">
        <v>3.3600000000000003</v>
      </c>
      <c r="Z37" s="5">
        <v>1.9566346153846156E-2</v>
      </c>
      <c r="AA37" s="5" t="str">
        <f>IF(COUNTIF(L$2:L37,L37)=1,SUMIF(L:L,L37,I:I)/SUMIF(L:L,L37,X:X),"")</f>
        <v/>
      </c>
      <c r="AB37" s="5" t="str">
        <f>IF(COUNTIF($N$2:N37,N37)=1, SUMIF(N:N,N37,Y:Y), "")</f>
        <v/>
      </c>
      <c r="AC37" s="5" t="str">
        <f>IF(COUNTIF($N$2:N37,N37)=1, SUMIF(N:N,N37,Z:Z), "")</f>
        <v/>
      </c>
    </row>
    <row r="38" spans="1:33" x14ac:dyDescent="0.35">
      <c r="A38" s="1">
        <f ca="1">IF(B38="","",COUNTA($B$2:B38))</f>
        <v>37</v>
      </c>
      <c r="B38" s="2">
        <f t="shared" ca="1" si="0"/>
        <v>46193</v>
      </c>
      <c r="C38" s="1" t="s">
        <v>58</v>
      </c>
      <c r="D38" s="1" t="s">
        <v>59</v>
      </c>
      <c r="E38" s="1" t="s">
        <v>60</v>
      </c>
      <c r="F38" s="1" t="s">
        <v>61</v>
      </c>
      <c r="G38" s="1">
        <v>269</v>
      </c>
      <c r="H38" s="9">
        <v>20</v>
      </c>
      <c r="I38" s="3" t="str">
        <f>IF(COUNTIF($N$2:N38,N38)=1,
SUMIFS($G:$G,$N:$N,N38),
"")</f>
        <v/>
      </c>
      <c r="J38" s="3">
        <f>IF(E38&lt;&gt;E37,SUMIF(E:E,E38,Y:Y)," ")</f>
        <v>240.71411904761905</v>
      </c>
      <c r="K38" s="4">
        <f>IF(E38&lt;&gt;E37,SUMIF(E:E,E38,Z:Z)," ")</f>
        <v>0.82483687283758234</v>
      </c>
      <c r="L38" s="1" t="s">
        <v>35</v>
      </c>
      <c r="M38" s="1" t="s">
        <v>55</v>
      </c>
      <c r="N38" s="9">
        <v>19061917</v>
      </c>
      <c r="O38" s="12">
        <v>0.33333333333333331</v>
      </c>
      <c r="P38" s="5" t="str">
        <f t="shared" si="3"/>
        <v/>
      </c>
      <c r="Q38" s="5" t="s">
        <v>28</v>
      </c>
      <c r="S38" s="1" t="s">
        <v>29</v>
      </c>
      <c r="U38" s="5" t="str">
        <f t="shared" si="4"/>
        <v/>
      </c>
      <c r="W38" s="1" t="str">
        <f>VLOOKUP(E38,'[1]CH DCPT CẤP HÀNG'!$B:$I,8,0)</f>
        <v>GHN</v>
      </c>
      <c r="X38" s="5">
        <f>IF(COUNTIFS($N$2:$N38,N38,$E$2:$E38,E38)=1,1,0)</f>
        <v>1</v>
      </c>
      <c r="Y38" s="5">
        <v>225.14411904761906</v>
      </c>
      <c r="Z38" s="5">
        <v>0.64664725745296692</v>
      </c>
      <c r="AA38" s="5" t="str">
        <f>IF(COUNTIF(L$2:L38,L38)=1,SUMIF(L:L,L38,I:I)/SUMIF(L:L,L38,X:X),"")</f>
        <v/>
      </c>
      <c r="AB38" s="5" t="str">
        <f>IF(COUNTIF($N$2:N38,N38)=1, SUMIF(N:N,N38,Y:Y), "")</f>
        <v/>
      </c>
      <c r="AC38" s="5" t="str">
        <f>IF(COUNTIF($N$2:N38,N38)=1, SUMIF(N:N,N38,Z:Z), "")</f>
        <v/>
      </c>
    </row>
    <row r="39" spans="1:33" x14ac:dyDescent="0.35">
      <c r="A39" s="1">
        <f ca="1">IF(B39="","",COUNTA($B$2:B39))</f>
        <v>38</v>
      </c>
      <c r="B39" s="2">
        <f t="shared" ca="1" si="0"/>
        <v>46193</v>
      </c>
      <c r="C39" s="1" t="s">
        <v>62</v>
      </c>
      <c r="D39" s="1" t="s">
        <v>63</v>
      </c>
      <c r="E39" s="1" t="s">
        <v>60</v>
      </c>
      <c r="F39" s="1" t="s">
        <v>61</v>
      </c>
      <c r="G39" s="1">
        <v>114</v>
      </c>
      <c r="H39" s="9">
        <v>5</v>
      </c>
      <c r="I39" s="3" t="str">
        <f>IF(COUNTIF($N$2:N39,N39)=1,
SUMIFS($G:$G,$N:$N,N39),
"")</f>
        <v/>
      </c>
      <c r="J39" s="3" t="str">
        <f>IF(E39&lt;&gt;E38,SUMIF(E:E,E39,Y:Y)," ")</f>
        <v xml:space="preserve"> </v>
      </c>
      <c r="K39" s="4" t="str">
        <f>IF(E39&lt;&gt;E38,SUMIF(E:E,E39,Z:Z)," ")</f>
        <v xml:space="preserve"> </v>
      </c>
      <c r="L39" s="1" t="s">
        <v>35</v>
      </c>
      <c r="M39" s="1" t="s">
        <v>55</v>
      </c>
      <c r="N39" s="9">
        <v>19061917</v>
      </c>
      <c r="O39" s="12">
        <v>0.33333333333333331</v>
      </c>
      <c r="P39" s="5" t="str">
        <f t="shared" si="3"/>
        <v/>
      </c>
      <c r="Q39" s="5" t="s">
        <v>28</v>
      </c>
      <c r="S39" s="1" t="s">
        <v>29</v>
      </c>
      <c r="U39" s="5" t="str">
        <f t="shared" si="4"/>
        <v/>
      </c>
      <c r="W39" s="1" t="str">
        <f>VLOOKUP(E39,'[1]CH DCPT CẤP HÀNG'!$B:$I,8,0)</f>
        <v>GHN</v>
      </c>
      <c r="X39" s="5">
        <f>IF(COUNTIFS($N$2:$N39,N39,$E$2:$E39,E39)=1,1,0)</f>
        <v>0</v>
      </c>
      <c r="Y39" s="5">
        <v>15.570000000000002</v>
      </c>
      <c r="Z39" s="5">
        <v>0.17818961538461539</v>
      </c>
      <c r="AA39" s="5" t="str">
        <f>IF(COUNTIF(L$2:L39,L39)=1,SUMIF(L:L,L39,I:I)/SUMIF(L:L,L39,X:X),"")</f>
        <v/>
      </c>
      <c r="AB39" s="5" t="str">
        <f>IF(COUNTIF($N$2:N39,N39)=1, SUMIF(N:N,N39,Y:Y), "")</f>
        <v/>
      </c>
      <c r="AC39" s="5" t="str">
        <f>IF(COUNTIF($N$2:N39,N39)=1, SUMIF(N:N,N39,Z:Z), "")</f>
        <v/>
      </c>
    </row>
    <row r="40" spans="1:33" x14ac:dyDescent="0.35">
      <c r="A40" s="1">
        <f ca="1">IF(B40="","",COUNTA($B$2:B40))</f>
        <v>39</v>
      </c>
      <c r="B40" s="2">
        <f t="shared" ca="1" si="0"/>
        <v>46193</v>
      </c>
      <c r="C40" s="9" t="s">
        <v>178</v>
      </c>
      <c r="D40" s="9" t="s">
        <v>179</v>
      </c>
      <c r="E40" s="9" t="s">
        <v>180</v>
      </c>
      <c r="F40" s="9" t="s">
        <v>181</v>
      </c>
      <c r="G40" s="9">
        <v>131</v>
      </c>
      <c r="H40" s="9">
        <v>9</v>
      </c>
      <c r="I40" s="10">
        <f>IF(COUNTIF($N$2:N40,N40)=1,
SUMIFS($G:$G,$N:$N,N40),
"")</f>
        <v>2049</v>
      </c>
      <c r="J40" s="10">
        <f>IF(E40&lt;&gt;E46,SUMIF(E:E,E40,Y:Y)," ")</f>
        <v>116.5551873015873</v>
      </c>
      <c r="K40" s="11">
        <f>IF(E40&lt;&gt;E46,SUMIF(E:E,E40,Z:Z)," ")</f>
        <v>0.52884068946133078</v>
      </c>
      <c r="L40" s="9" t="s">
        <v>35</v>
      </c>
      <c r="M40" s="9" t="s">
        <v>155</v>
      </c>
      <c r="N40" s="9">
        <v>19061918</v>
      </c>
      <c r="O40" s="12">
        <v>0.33333333333333331</v>
      </c>
      <c r="P40" s="13" t="str">
        <f t="shared" si="3"/>
        <v/>
      </c>
      <c r="Q40" s="13" t="s">
        <v>28</v>
      </c>
      <c r="R40" s="9"/>
      <c r="S40" s="9" t="s">
        <v>29</v>
      </c>
      <c r="T40" s="9"/>
      <c r="U40" s="13" t="str">
        <f t="shared" si="4"/>
        <v/>
      </c>
      <c r="V40" s="9" t="s">
        <v>326</v>
      </c>
      <c r="W40" s="9" t="str">
        <f>VLOOKUP(E40,'[1]CH DCPT CẤP HÀNG'!$B:$I,8,0)</f>
        <v>GHN</v>
      </c>
      <c r="X40" s="13">
        <f>IF(COUNTIFS($N$2:$N40,N40,$E$2:$E40,E40)=1,1,0)</f>
        <v>1</v>
      </c>
      <c r="Y40" s="13">
        <v>98.702187301587301</v>
      </c>
      <c r="Z40" s="13">
        <v>0.37080507407671548</v>
      </c>
      <c r="AA40" s="13" t="str">
        <f>IF(COUNTIF(L$2:L40,L40)=1,SUMIF(L:L,L40,I:I)/SUMIF(L:L,L40,X:X),"")</f>
        <v/>
      </c>
      <c r="AB40" s="13">
        <f>IF(COUNTIF($N$2:N40,N40)=1, SUMIF(N:N,N40,Y:Y), "")</f>
        <v>1013.6930142857145</v>
      </c>
      <c r="AC40" s="13">
        <f>IF(COUNTIF($N$2:N40,N40)=1, SUMIF(N:N,N40,Z:Z), "")</f>
        <v>3.6576002217249024</v>
      </c>
      <c r="AD40" s="14" t="s">
        <v>327</v>
      </c>
      <c r="AE40" s="14" t="s">
        <v>328</v>
      </c>
      <c r="AF40" s="15" t="s">
        <v>329</v>
      </c>
      <c r="AG40" s="14" t="s">
        <v>316</v>
      </c>
    </row>
    <row r="41" spans="1:33" x14ac:dyDescent="0.35">
      <c r="A41" s="1">
        <f ca="1">IF(B41="","",COUNTA($B$2:B41))</f>
        <v>40</v>
      </c>
      <c r="B41" s="2">
        <f t="shared" ca="1" si="0"/>
        <v>46193</v>
      </c>
      <c r="C41" s="1" t="s">
        <v>182</v>
      </c>
      <c r="D41" s="1" t="s">
        <v>183</v>
      </c>
      <c r="E41" s="1" t="s">
        <v>180</v>
      </c>
      <c r="F41" s="1" t="s">
        <v>181</v>
      </c>
      <c r="G41" s="1">
        <v>102</v>
      </c>
      <c r="H41" s="9">
        <v>3</v>
      </c>
      <c r="I41" s="7" t="str">
        <f>IF(COUNTIF($N$2:N41,N41)=1,
SUMIFS($G:$G,$N:$N,N41),
"")</f>
        <v/>
      </c>
      <c r="J41" s="7" t="str">
        <f>IF(E41&lt;&gt;E40,SUMIF(E:E,E41,Y:Y)," ")</f>
        <v xml:space="preserve"> </v>
      </c>
      <c r="K41" s="4" t="str">
        <f>IF(E41&lt;&gt;E40,SUMIF(E:E,E41,Z:Z)," ")</f>
        <v xml:space="preserve"> </v>
      </c>
      <c r="L41" s="1" t="s">
        <v>35</v>
      </c>
      <c r="M41" s="1" t="s">
        <v>155</v>
      </c>
      <c r="N41" s="9">
        <v>19061918</v>
      </c>
      <c r="O41" s="12">
        <v>0.33333333333333331</v>
      </c>
      <c r="P41" s="8" t="str">
        <f t="shared" si="3"/>
        <v/>
      </c>
      <c r="Q41" s="8" t="s">
        <v>28</v>
      </c>
      <c r="S41" s="1" t="s">
        <v>29</v>
      </c>
      <c r="U41" s="8" t="str">
        <f t="shared" si="4"/>
        <v/>
      </c>
      <c r="W41" s="1" t="str">
        <f>VLOOKUP(E41,'[1]CH DCPT CẤP HÀNG'!$B:$I,8,0)</f>
        <v>GHN</v>
      </c>
      <c r="X41" s="8">
        <f>IF(COUNTIFS($N$2:$N41,N41,$E$2:$E41,E41)=1,1,0)</f>
        <v>0</v>
      </c>
      <c r="Y41" s="8">
        <v>17.853000000000002</v>
      </c>
      <c r="Z41" s="8">
        <v>0.15803561538461533</v>
      </c>
      <c r="AA41" s="8" t="str">
        <f>IF(COUNTIF(L$2:L41,L41)=1,SUMIF(L:L,L41,I:I)/SUMIF(L:L,L41,X:X),"")</f>
        <v/>
      </c>
      <c r="AB41" s="8" t="str">
        <f>IF(COUNTIF($N$2:N41,N41)=1, SUMIF(N:N,N41,Y:Y), "")</f>
        <v/>
      </c>
      <c r="AC41" s="8" t="str">
        <f>IF(COUNTIF($N$2:N41,N41)=1, SUMIF(N:N,N41,Z:Z), "")</f>
        <v/>
      </c>
    </row>
    <row r="42" spans="1:33" x14ac:dyDescent="0.35">
      <c r="A42" s="1">
        <f ca="1">IF(B42="","",COUNTA($B$2:B42))</f>
        <v>41</v>
      </c>
      <c r="B42" s="2">
        <f t="shared" ca="1" si="0"/>
        <v>46193</v>
      </c>
      <c r="C42" s="1" t="s">
        <v>184</v>
      </c>
      <c r="D42" s="1" t="s">
        <v>185</v>
      </c>
      <c r="E42" s="1" t="s">
        <v>186</v>
      </c>
      <c r="F42" s="1" t="s">
        <v>187</v>
      </c>
      <c r="G42" s="1">
        <v>117</v>
      </c>
      <c r="H42" s="9">
        <v>8</v>
      </c>
      <c r="I42" s="3" t="str">
        <f>IF(COUNTIF($N$2:N42,N42)=1,
SUMIFS($G:$G,$N:$N,N42),
"")</f>
        <v/>
      </c>
      <c r="J42" s="3">
        <f>IF(E42&lt;&gt;E41,SUMIF(E:E,E42,Y:Y)," ")</f>
        <v>66.795555555555552</v>
      </c>
      <c r="K42" s="4">
        <f>IF(E42&lt;&gt;E41,SUMIF(E:E,E42,Z:Z)," ")</f>
        <v>0.2878808548878205</v>
      </c>
      <c r="L42" s="1" t="s">
        <v>35</v>
      </c>
      <c r="M42" s="1" t="s">
        <v>155</v>
      </c>
      <c r="N42" s="9">
        <v>19061918</v>
      </c>
      <c r="O42" s="12">
        <v>0.33333333333333331</v>
      </c>
      <c r="P42" s="5" t="str">
        <f t="shared" si="3"/>
        <v/>
      </c>
      <c r="Q42" s="5" t="s">
        <v>28</v>
      </c>
      <c r="S42" s="1" t="s">
        <v>29</v>
      </c>
      <c r="U42" s="5" t="str">
        <f t="shared" si="4"/>
        <v/>
      </c>
      <c r="W42" s="1" t="str">
        <f>VLOOKUP(E42,'[1]CH DCPT CẤP HÀNG'!$B:$I,8,0)</f>
        <v>GHN</v>
      </c>
      <c r="X42" s="5">
        <f>IF(COUNTIFS($N$2:$N42,N42,$E$2:$E42,E42)=1,1,0)</f>
        <v>1</v>
      </c>
      <c r="Y42" s="5">
        <v>62.505555555555553</v>
      </c>
      <c r="Z42" s="5">
        <v>0.26960393181089742</v>
      </c>
      <c r="AA42" s="5" t="str">
        <f>IF(COUNTIF(L$2:L42,L42)=1,SUMIF(L:L,L42,I:I)/SUMIF(L:L,L42,X:X),"")</f>
        <v/>
      </c>
      <c r="AB42" s="5" t="str">
        <f>IF(COUNTIF($N$2:N42,N42)=1, SUMIF(N:N,N42,Y:Y), "")</f>
        <v/>
      </c>
      <c r="AC42" s="5" t="str">
        <f>IF(COUNTIF($N$2:N42,N42)=1, SUMIF(N:N,N42,Z:Z), "")</f>
        <v/>
      </c>
    </row>
    <row r="43" spans="1:33" x14ac:dyDescent="0.35">
      <c r="A43" s="1">
        <f ca="1">IF(B43="","",COUNTA($B$2:B43))</f>
        <v>42</v>
      </c>
      <c r="B43" s="2">
        <f t="shared" ca="1" si="0"/>
        <v>46193</v>
      </c>
      <c r="C43" s="1" t="s">
        <v>188</v>
      </c>
      <c r="D43" s="1" t="s">
        <v>189</v>
      </c>
      <c r="E43" s="1" t="s">
        <v>186</v>
      </c>
      <c r="F43" s="1" t="s">
        <v>187</v>
      </c>
      <c r="G43" s="1">
        <v>60</v>
      </c>
      <c r="H43" s="9">
        <v>2</v>
      </c>
      <c r="I43" s="3" t="str">
        <f>IF(COUNTIF($N$2:N55,N43)=1,
SUMIFS($G:$G,$N:$N,N43),
"")</f>
        <v/>
      </c>
      <c r="J43" s="3" t="str">
        <f>IF(E43&lt;&gt;E42,SUMIF(E:E,E43,Y:Y)," ")</f>
        <v xml:space="preserve"> </v>
      </c>
      <c r="K43" s="4" t="str">
        <f>IF(E43&lt;&gt;E42,SUMIF(E:E,E43,Z:Z)," ")</f>
        <v xml:space="preserve"> </v>
      </c>
      <c r="L43" s="1" t="s">
        <v>35</v>
      </c>
      <c r="M43" s="1" t="s">
        <v>155</v>
      </c>
      <c r="N43" s="9">
        <v>19061918</v>
      </c>
      <c r="O43" s="12">
        <v>0.33333333333333331</v>
      </c>
      <c r="P43" s="5" t="str">
        <f t="shared" si="3"/>
        <v/>
      </c>
      <c r="Q43" s="5" t="s">
        <v>28</v>
      </c>
      <c r="S43" s="1" t="s">
        <v>29</v>
      </c>
      <c r="U43" s="5" t="str">
        <f t="shared" si="4"/>
        <v/>
      </c>
      <c r="W43" s="1" t="str">
        <f>VLOOKUP(E43,'[1]CH DCPT CẤP HÀNG'!$B:$I,8,0)</f>
        <v>GHN</v>
      </c>
      <c r="X43" s="5">
        <f>IF(COUNTIFS($N$2:$N55,N43,$E$2:$E55,E43)=1,1,0)</f>
        <v>0</v>
      </c>
      <c r="Y43" s="5">
        <v>4.2900000000000009</v>
      </c>
      <c r="Z43" s="5">
        <v>1.8276923076923079E-2</v>
      </c>
      <c r="AA43" s="5" t="str">
        <f>IF(COUNTIF(L$2:L55,L43)=1,SUMIF(L:L,L43,I:I)/SUMIF(L:L,L43,X:X),"")</f>
        <v/>
      </c>
      <c r="AB43" s="5" t="str">
        <f>IF(COUNTIF($N$2:N55,N43)=1, SUMIF(N:N,N43,Y:Y), "")</f>
        <v/>
      </c>
      <c r="AC43" s="5" t="str">
        <f>IF(COUNTIF($N$2:N55,N43)=1, SUMIF(N:N,N43,Z:Z), "")</f>
        <v/>
      </c>
    </row>
    <row r="44" spans="1:33" x14ac:dyDescent="0.35">
      <c r="A44" s="1">
        <f ca="1">IF(B44="","",COUNTA($B$2:B44))</f>
        <v>43</v>
      </c>
      <c r="B44" s="2">
        <f t="shared" ca="1" si="0"/>
        <v>46193</v>
      </c>
      <c r="C44" s="1" t="s">
        <v>190</v>
      </c>
      <c r="D44" s="1" t="s">
        <v>191</v>
      </c>
      <c r="E44" s="1" t="s">
        <v>192</v>
      </c>
      <c r="F44" s="1" t="s">
        <v>193</v>
      </c>
      <c r="G44" s="1">
        <v>246</v>
      </c>
      <c r="H44" s="9">
        <v>17</v>
      </c>
      <c r="I44" s="3" t="str">
        <f>IF(COUNTIF($N$2:N44,N44)=1,
SUMIFS($G:$G,$N:$N,N44),
"")</f>
        <v/>
      </c>
      <c r="J44" s="3">
        <f>IF(E44&lt;&gt;E43,SUMIF(E:E,E44,Y:Y)," ")</f>
        <v>102.84511904761908</v>
      </c>
      <c r="K44" s="4">
        <f>IF(E44&lt;&gt;E43,SUMIF(E:E,E44,Z:Z)," ")</f>
        <v>0.4311479152087912</v>
      </c>
      <c r="L44" s="1" t="s">
        <v>35</v>
      </c>
      <c r="M44" s="1" t="s">
        <v>155</v>
      </c>
      <c r="N44" s="9">
        <v>19061918</v>
      </c>
      <c r="O44" s="12">
        <v>0.33333333333333331</v>
      </c>
      <c r="P44" s="5" t="str">
        <f t="shared" si="3"/>
        <v/>
      </c>
      <c r="Q44" s="5" t="s">
        <v>28</v>
      </c>
      <c r="S44" s="1" t="s">
        <v>29</v>
      </c>
      <c r="U44" s="5" t="str">
        <f t="shared" si="4"/>
        <v/>
      </c>
      <c r="W44" s="1" t="str">
        <f>VLOOKUP(E44,'[1]CH DCPT CẤP HÀNG'!$B:$I,8,0)</f>
        <v>GHN</v>
      </c>
      <c r="X44" s="5">
        <f>IF(COUNTIFS($N$2:$N44,N44,$E$2:$E44,E44)=1,1,0)</f>
        <v>1</v>
      </c>
      <c r="Y44" s="5">
        <v>98.555119047619073</v>
      </c>
      <c r="Z44" s="5">
        <v>0.41287099213186812</v>
      </c>
      <c r="AA44" s="5" t="str">
        <f>IF(COUNTIF(L$2:L44,L44)=1,SUMIF(L:L,L44,I:I)/SUMIF(L:L,L44,X:X),"")</f>
        <v/>
      </c>
      <c r="AB44" s="5" t="str">
        <f>IF(COUNTIF($N$2:N44,N44)=1, SUMIF(N:N,N44,Y:Y), "")</f>
        <v/>
      </c>
      <c r="AC44" s="5" t="str">
        <f>IF(COUNTIF($N$2:N44,N44)=1, SUMIF(N:N,N44,Z:Z), "")</f>
        <v/>
      </c>
    </row>
    <row r="45" spans="1:33" x14ac:dyDescent="0.35">
      <c r="A45" s="1">
        <f ca="1">IF(B45="","",COUNTA($B$2:B45))</f>
        <v>44</v>
      </c>
      <c r="B45" s="2">
        <f t="shared" ca="1" si="0"/>
        <v>46193</v>
      </c>
      <c r="C45" s="1" t="s">
        <v>194</v>
      </c>
      <c r="D45" s="1" t="s">
        <v>195</v>
      </c>
      <c r="E45" s="1" t="s">
        <v>192</v>
      </c>
      <c r="F45" s="1" t="s">
        <v>193</v>
      </c>
      <c r="G45" s="1">
        <v>60</v>
      </c>
      <c r="H45" s="9">
        <v>2</v>
      </c>
      <c r="I45" s="3" t="str">
        <f>IF(COUNTIF($N$2:N55,N45)=1,
SUMIFS($G:$G,$N:$N,N45),
"")</f>
        <v/>
      </c>
      <c r="J45" s="3" t="str">
        <f>IF(E45&lt;&gt;E44,SUMIF(E:E,E45,Y:Y)," ")</f>
        <v xml:space="preserve"> </v>
      </c>
      <c r="K45" s="4" t="str">
        <f>IF(E45&lt;&gt;E44,SUMIF(E:E,E45,Z:Z)," ")</f>
        <v xml:space="preserve"> </v>
      </c>
      <c r="L45" s="1" t="s">
        <v>35</v>
      </c>
      <c r="M45" s="1" t="s">
        <v>155</v>
      </c>
      <c r="N45" s="9">
        <v>19061918</v>
      </c>
      <c r="O45" s="12">
        <v>0.33333333333333331</v>
      </c>
      <c r="P45" s="5" t="str">
        <f t="shared" si="3"/>
        <v/>
      </c>
      <c r="Q45" s="5" t="s">
        <v>28</v>
      </c>
      <c r="S45" s="1" t="s">
        <v>29</v>
      </c>
      <c r="U45" s="5" t="str">
        <f t="shared" si="4"/>
        <v/>
      </c>
      <c r="W45" s="1" t="str">
        <f>VLOOKUP(E45,'[1]CH DCPT CẤP HÀNG'!$B:$I,8,0)</f>
        <v>GHN</v>
      </c>
      <c r="X45" s="5">
        <f>IF(COUNTIFS($N$2:$N55,N45,$E$2:$E55,E45)=1,1,0)</f>
        <v>0</v>
      </c>
      <c r="Y45" s="5">
        <v>4.2900000000000009</v>
      </c>
      <c r="Z45" s="5">
        <v>1.8276923076923079E-2</v>
      </c>
      <c r="AA45" s="5" t="str">
        <f>IF(COUNTIF(L$2:L55,L45)=1,SUMIF(L:L,L45,I:I)/SUMIF(L:L,L45,X:X),"")</f>
        <v/>
      </c>
      <c r="AB45" s="5" t="str">
        <f>IF(COUNTIF($N$2:N55,N45)=1, SUMIF(N:N,N45,Y:Y), "")</f>
        <v/>
      </c>
      <c r="AC45" s="5" t="str">
        <f>IF(COUNTIF($N$2:N55,N45)=1, SUMIF(N:N,N45,Z:Z), "")</f>
        <v/>
      </c>
    </row>
    <row r="46" spans="1:33" x14ac:dyDescent="0.35">
      <c r="A46" s="1">
        <f ca="1">IF(B46="","",COUNTA($B$2:B46))</f>
        <v>45</v>
      </c>
      <c r="B46" s="2">
        <f t="shared" ca="1" si="0"/>
        <v>46193</v>
      </c>
      <c r="C46" s="1" t="s">
        <v>174</v>
      </c>
      <c r="D46" s="1" t="s">
        <v>175</v>
      </c>
      <c r="E46" s="1" t="s">
        <v>176</v>
      </c>
      <c r="F46" s="1" t="s">
        <v>177</v>
      </c>
      <c r="G46" s="1">
        <v>152</v>
      </c>
      <c r="H46" s="9">
        <v>10</v>
      </c>
      <c r="I46" s="3" t="str">
        <f>IF(COUNTIF($N$2:N55,N46)=1,
SUMIFS($G:$G,$N:$N,N46),
"")</f>
        <v/>
      </c>
      <c r="J46" s="3">
        <f>IF(E46&lt;&gt;E48,SUMIF(E:E,E46,Y:Y)," ")</f>
        <v>116.53773333333334</v>
      </c>
      <c r="K46" s="4">
        <f>IF(E46&lt;&gt;E48,SUMIF(E:E,E46,Z:Z)," ")</f>
        <v>0.26545279961692309</v>
      </c>
      <c r="L46" s="1" t="s">
        <v>35</v>
      </c>
      <c r="M46" s="1" t="s">
        <v>155</v>
      </c>
      <c r="N46" s="9">
        <v>19061918</v>
      </c>
      <c r="O46" s="12">
        <v>0.33333333333333331</v>
      </c>
      <c r="P46" s="5" t="str">
        <f t="shared" si="3"/>
        <v/>
      </c>
      <c r="Q46" s="5" t="s">
        <v>28</v>
      </c>
      <c r="S46" s="1" t="s">
        <v>29</v>
      </c>
      <c r="U46" s="5" t="str">
        <f t="shared" si="4"/>
        <v/>
      </c>
      <c r="W46" s="1" t="str">
        <f>VLOOKUP(E46,'[1]CH DCPT CẤP HÀNG'!$B:$I,8,0)</f>
        <v>GHN</v>
      </c>
      <c r="X46" s="5">
        <f>IF(COUNTIFS($N$2:$N55,N46,$E$2:$E55,E46)=1,1,0)</f>
        <v>1</v>
      </c>
      <c r="Y46" s="5">
        <v>116.53773333333334</v>
      </c>
      <c r="Z46" s="5">
        <v>0.26545279961692309</v>
      </c>
      <c r="AA46" s="5" t="str">
        <f>IF(COUNTIF(L$2:L55,L46)=1,SUMIF(L:L,L46,I:I)/SUMIF(L:L,L46,X:X),"")</f>
        <v/>
      </c>
      <c r="AB46" s="5" t="str">
        <f>IF(COUNTIF($N$2:N55,N46)=1, SUMIF(N:N,N46,Y:Y), "")</f>
        <v/>
      </c>
      <c r="AC46" s="5" t="str">
        <f>IF(COUNTIF($N$2:N55,N46)=1, SUMIF(N:N,N46,Z:Z), "")</f>
        <v/>
      </c>
    </row>
    <row r="47" spans="1:33" x14ac:dyDescent="0.35">
      <c r="A47" s="1">
        <f ca="1">IF(B47="","",COUNTA($B$2:B47))</f>
        <v>46</v>
      </c>
      <c r="B47" s="2">
        <f t="shared" ca="1" si="0"/>
        <v>46193</v>
      </c>
      <c r="C47" s="1" t="s">
        <v>168</v>
      </c>
      <c r="D47" s="1" t="s">
        <v>169</v>
      </c>
      <c r="E47" s="1" t="s">
        <v>170</v>
      </c>
      <c r="F47" s="1" t="s">
        <v>171</v>
      </c>
      <c r="G47" s="1">
        <v>173</v>
      </c>
      <c r="H47" s="9">
        <v>12</v>
      </c>
      <c r="I47" s="3" t="str">
        <f>IF(COUNTIF($N$2:N47,N47)=1,
SUMIFS($G:$G,$N:$N,N47),
"")</f>
        <v/>
      </c>
      <c r="J47" s="3">
        <f>IF(E47&lt;&gt;E50,SUMIF(E:E,E47,Y:Y)," ")</f>
        <v>147.12293333333332</v>
      </c>
      <c r="K47" s="4">
        <f>IF(E47&lt;&gt;E50,SUMIF(E:E,E47,Z:Z)," ")</f>
        <v>0.57834785757963447</v>
      </c>
      <c r="L47" s="1" t="s">
        <v>35</v>
      </c>
      <c r="M47" s="1" t="s">
        <v>155</v>
      </c>
      <c r="N47" s="9">
        <v>19061918</v>
      </c>
      <c r="O47" s="12">
        <v>0.33333333333333331</v>
      </c>
      <c r="P47" s="5" t="str">
        <f t="shared" si="3"/>
        <v/>
      </c>
      <c r="Q47" s="5" t="s">
        <v>28</v>
      </c>
      <c r="S47" s="1" t="s">
        <v>29</v>
      </c>
      <c r="U47" s="5" t="str">
        <f t="shared" si="4"/>
        <v/>
      </c>
      <c r="W47" s="1" t="str">
        <f>VLOOKUP(E47,'[1]CH DCPT CẤP HÀNG'!$B:$I,8,0)</f>
        <v>GHN</v>
      </c>
      <c r="X47" s="5">
        <f>IF(COUNTIFS($N$2:$N47,N47,$E$2:$E47,E47)=1,1,0)</f>
        <v>1</v>
      </c>
      <c r="Y47" s="5">
        <v>135.52793333333332</v>
      </c>
      <c r="Z47" s="5">
        <v>0.42481478065655759</v>
      </c>
      <c r="AA47" s="5" t="str">
        <f>IF(COUNTIF(L$2:L47,L47)=1,SUMIF(L:L,L47,I:I)/SUMIF(L:L,L47,X:X),"")</f>
        <v/>
      </c>
      <c r="AB47" s="5" t="str">
        <f>IF(COUNTIF($N$2:N47,N47)=1, SUMIF(N:N,N47,Y:Y), "")</f>
        <v/>
      </c>
      <c r="AC47" s="5" t="str">
        <f>IF(COUNTIF($N$2:N47,N47)=1, SUMIF(N:N,N47,Z:Z), "")</f>
        <v/>
      </c>
    </row>
    <row r="48" spans="1:33" x14ac:dyDescent="0.35">
      <c r="A48" s="1">
        <f ca="1">IF(B48="","",COUNTA($B$2:B48))</f>
        <v>47</v>
      </c>
      <c r="B48" s="2">
        <f t="shared" ca="1" si="0"/>
        <v>46193</v>
      </c>
      <c r="C48" s="1" t="s">
        <v>172</v>
      </c>
      <c r="D48" s="1" t="s">
        <v>173</v>
      </c>
      <c r="E48" s="1" t="s">
        <v>170</v>
      </c>
      <c r="F48" s="1" t="s">
        <v>171</v>
      </c>
      <c r="G48" s="1">
        <v>54</v>
      </c>
      <c r="H48" s="9">
        <v>3</v>
      </c>
      <c r="I48" s="3" t="str">
        <f>IF(COUNTIF($N$2:N55,N48)=1,
SUMIFS($G:$G,$N:$N,N48),
"")</f>
        <v/>
      </c>
      <c r="J48" s="3" t="str">
        <f>IF(E48&lt;&gt;E47,SUMIF(E:E,E48,Y:Y)," ")</f>
        <v xml:space="preserve"> </v>
      </c>
      <c r="K48" s="4" t="str">
        <f>IF(E48&lt;&gt;E47,SUMIF(E:E,E48,Z:Z)," ")</f>
        <v xml:space="preserve"> </v>
      </c>
      <c r="L48" s="1" t="s">
        <v>35</v>
      </c>
      <c r="M48" s="1" t="s">
        <v>155</v>
      </c>
      <c r="N48" s="9">
        <v>19061918</v>
      </c>
      <c r="O48" s="12">
        <v>0.33333333333333331</v>
      </c>
      <c r="P48" s="5" t="str">
        <f t="shared" si="3"/>
        <v/>
      </c>
      <c r="Q48" s="5" t="s">
        <v>28</v>
      </c>
      <c r="S48" s="1" t="s">
        <v>29</v>
      </c>
      <c r="U48" s="5" t="str">
        <f t="shared" si="4"/>
        <v/>
      </c>
      <c r="W48" s="1" t="str">
        <f>VLOOKUP(E48,'[1]CH DCPT CẤP HÀNG'!$B:$I,8,0)</f>
        <v>GHN</v>
      </c>
      <c r="X48" s="5">
        <f>IF(COUNTIFS($N$2:$N55,N48,$E$2:$E55,E48)=1,1,0)</f>
        <v>0</v>
      </c>
      <c r="Y48" s="5">
        <v>11.595000000000001</v>
      </c>
      <c r="Z48" s="5">
        <v>0.15353307692307691</v>
      </c>
      <c r="AA48" s="5" t="str">
        <f>IF(COUNTIF(L$2:L55,L48)=1,SUMIF(L:L,L48,I:I)/SUMIF(L:L,L48,X:X),"")</f>
        <v/>
      </c>
      <c r="AB48" s="5" t="str">
        <f>IF(COUNTIF($N$2:N55,N48)=1, SUMIF(N:N,N48,Y:Y), "")</f>
        <v/>
      </c>
      <c r="AC48" s="5" t="str">
        <f>IF(COUNTIF($N$2:N55,N48)=1, SUMIF(N:N,N48,Z:Z), "")</f>
        <v/>
      </c>
    </row>
    <row r="49" spans="1:33" x14ac:dyDescent="0.35">
      <c r="A49" s="1">
        <f ca="1">IF(B49="","",COUNTA($B$2:B49))</f>
        <v>48</v>
      </c>
      <c r="B49" s="2">
        <f t="shared" ca="1" si="0"/>
        <v>46193</v>
      </c>
      <c r="C49" s="1" t="s">
        <v>162</v>
      </c>
      <c r="D49" s="1" t="s">
        <v>163</v>
      </c>
      <c r="E49" s="1" t="s">
        <v>164</v>
      </c>
      <c r="F49" s="1" t="s">
        <v>165</v>
      </c>
      <c r="G49" s="1">
        <v>133</v>
      </c>
      <c r="H49" s="9">
        <v>8</v>
      </c>
      <c r="I49" s="3" t="str">
        <f>IF(COUNTIF($N$2:N49,N49)=1,
SUMIFS($G:$G,$N:$N,N49),
"")</f>
        <v/>
      </c>
      <c r="J49" s="3">
        <f>IF(E49&lt;&gt;E54,SUMIF(E:E,E49,Y:Y)," ")</f>
        <v>105.87605396825398</v>
      </c>
      <c r="K49" s="4">
        <f>IF(E49&lt;&gt;E54,SUMIF(E:E,E49,Z:Z)," ")</f>
        <v>0.30212643652014648</v>
      </c>
      <c r="L49" s="1" t="s">
        <v>35</v>
      </c>
      <c r="M49" s="1" t="s">
        <v>155</v>
      </c>
      <c r="N49" s="9">
        <v>19061918</v>
      </c>
      <c r="O49" s="12">
        <v>0.33333333333333331</v>
      </c>
      <c r="P49" s="5" t="str">
        <f t="shared" si="3"/>
        <v/>
      </c>
      <c r="Q49" s="5" t="s">
        <v>28</v>
      </c>
      <c r="S49" s="1" t="s">
        <v>29</v>
      </c>
      <c r="U49" s="5" t="str">
        <f t="shared" si="4"/>
        <v/>
      </c>
      <c r="W49" s="1" t="str">
        <f>VLOOKUP(E49,'[1]CH DCPT CẤP HÀNG'!$B:$I,8,0)</f>
        <v>GHN</v>
      </c>
      <c r="X49" s="5">
        <f>IF(COUNTIFS($N$2:$N49,N49,$E$2:$E49,E49)=1,1,0)</f>
        <v>1</v>
      </c>
      <c r="Y49" s="5">
        <v>83.343053968253983</v>
      </c>
      <c r="Z49" s="5">
        <v>0.2303971842124542</v>
      </c>
      <c r="AA49" s="5" t="str">
        <f>IF(COUNTIF(L$2:L49,L49)=1,SUMIF(L:L,L49,I:I)/SUMIF(L:L,L49,X:X),"")</f>
        <v/>
      </c>
      <c r="AB49" s="5" t="str">
        <f>IF(COUNTIF($N$2:N49,N49)=1, SUMIF(N:N,N49,Y:Y), "")</f>
        <v/>
      </c>
      <c r="AC49" s="5" t="str">
        <f>IF(COUNTIF($N$2:N49,N49)=1, SUMIF(N:N,N49,Z:Z), "")</f>
        <v/>
      </c>
    </row>
    <row r="50" spans="1:33" x14ac:dyDescent="0.35">
      <c r="A50" s="1">
        <f ca="1">IF(B50="","",COUNTA($B$2:B50))</f>
        <v>49</v>
      </c>
      <c r="B50" s="2">
        <f t="shared" ca="1" si="0"/>
        <v>46193</v>
      </c>
      <c r="C50" s="1" t="s">
        <v>166</v>
      </c>
      <c r="D50" s="1" t="s">
        <v>167</v>
      </c>
      <c r="E50" s="1" t="s">
        <v>164</v>
      </c>
      <c r="F50" s="1" t="s">
        <v>165</v>
      </c>
      <c r="G50" s="1">
        <v>102</v>
      </c>
      <c r="H50" s="9">
        <v>4</v>
      </c>
      <c r="I50" s="3" t="str">
        <f>IF(COUNTIF($N$2:N55,N50)=1,
SUMIFS($G:$G,$N:$N,N50),
"")</f>
        <v/>
      </c>
      <c r="J50" s="3" t="str">
        <f>IF(E50&lt;&gt;E49,SUMIF(E:E,E50,Y:Y)," ")</f>
        <v xml:space="preserve"> </v>
      </c>
      <c r="K50" s="4" t="str">
        <f>IF(E50&lt;&gt;E49,SUMIF(E:E,E50,Z:Z)," ")</f>
        <v xml:space="preserve"> </v>
      </c>
      <c r="L50" s="1" t="s">
        <v>35</v>
      </c>
      <c r="M50" s="1" t="s">
        <v>155</v>
      </c>
      <c r="N50" s="9">
        <v>19061918</v>
      </c>
      <c r="O50" s="12">
        <v>0.33333333333333331</v>
      </c>
      <c r="P50" s="5" t="str">
        <f t="shared" si="3"/>
        <v/>
      </c>
      <c r="Q50" s="5" t="s">
        <v>28</v>
      </c>
      <c r="S50" s="1" t="s">
        <v>29</v>
      </c>
      <c r="U50" s="5" t="str">
        <f t="shared" si="4"/>
        <v/>
      </c>
      <c r="W50" s="1" t="str">
        <f>VLOOKUP(E50,'[1]CH DCPT CẤP HÀNG'!$B:$I,8,0)</f>
        <v>GHN</v>
      </c>
      <c r="X50" s="5">
        <f>IF(COUNTIFS($N$2:$N55,N50,$E$2:$E55,E50)=1,1,0)</f>
        <v>0</v>
      </c>
      <c r="Y50" s="5">
        <v>22.533000000000005</v>
      </c>
      <c r="Z50" s="5">
        <v>7.1729252307692309E-2</v>
      </c>
      <c r="AA50" s="5" t="str">
        <f>IF(COUNTIF(L$2:L55,L50)=1,SUMIF(L:L,L50,I:I)/SUMIF(L:L,L50,X:X),"")</f>
        <v/>
      </c>
      <c r="AB50" s="5" t="str">
        <f>IF(COUNTIF($N$2:N55,N50)=1, SUMIF(N:N,N50,Y:Y), "")</f>
        <v/>
      </c>
      <c r="AC50" s="5" t="str">
        <f>IF(COUNTIF($N$2:N55,N50)=1, SUMIF(N:N,N50,Z:Z), "")</f>
        <v/>
      </c>
    </row>
    <row r="51" spans="1:33" x14ac:dyDescent="0.35">
      <c r="A51" s="1">
        <f ca="1">IF(B51="","",COUNTA($B$2:B51))</f>
        <v>50</v>
      </c>
      <c r="B51" s="2">
        <f t="shared" ca="1" si="0"/>
        <v>46193</v>
      </c>
      <c r="C51" s="1" t="s">
        <v>196</v>
      </c>
      <c r="D51" s="1" t="s">
        <v>197</v>
      </c>
      <c r="E51" s="1" t="s">
        <v>198</v>
      </c>
      <c r="F51" s="1" t="s">
        <v>199</v>
      </c>
      <c r="G51" s="1">
        <v>301</v>
      </c>
      <c r="H51" s="9">
        <v>19</v>
      </c>
      <c r="I51" s="3" t="str">
        <f>IF(COUNTIF($N$2:N51,N51)=1,
SUMIFS($G:$G,$N:$N,N51),
"")</f>
        <v/>
      </c>
      <c r="J51" s="3">
        <f>IF(E51&lt;&gt;E45,SUMIF(E:E,E51,Y:Y)," ")</f>
        <v>232.71425396825407</v>
      </c>
      <c r="K51" s="4">
        <f>IF(E51&lt;&gt;E45,SUMIF(E:E,E51,Z:Z)," ")</f>
        <v>0.87384358220667235</v>
      </c>
      <c r="L51" s="1" t="s">
        <v>35</v>
      </c>
      <c r="M51" s="1" t="s">
        <v>155</v>
      </c>
      <c r="N51" s="9">
        <v>19061918</v>
      </c>
      <c r="O51" s="12">
        <v>0.33333333333333331</v>
      </c>
      <c r="P51" s="5" t="str">
        <f t="shared" si="3"/>
        <v/>
      </c>
      <c r="Q51" s="5" t="s">
        <v>28</v>
      </c>
      <c r="S51" s="1" t="s">
        <v>29</v>
      </c>
      <c r="U51" s="5" t="str">
        <f t="shared" si="4"/>
        <v/>
      </c>
      <c r="W51" s="1" t="str">
        <f>VLOOKUP(E51,'[1]CH DCPT CẤP HÀNG'!$B:$I,8,0)</f>
        <v>GHN</v>
      </c>
      <c r="X51" s="5">
        <f>IF(COUNTIFS($N$2:$N51,N51,$E$2:$E51,E51)=1,1,0)</f>
        <v>1</v>
      </c>
      <c r="Y51" s="5">
        <v>199.84025396825407</v>
      </c>
      <c r="Z51" s="5">
        <v>0.68323578696191711</v>
      </c>
      <c r="AA51" s="5" t="str">
        <f>IF(COUNTIF(L$2:L51,L51)=1,SUMIF(L:L,L51,I:I)/SUMIF(L:L,L51,X:X),"")</f>
        <v/>
      </c>
      <c r="AB51" s="5" t="str">
        <f>IF(COUNTIF($N$2:N51,N51)=1, SUMIF(N:N,N51,Y:Y), "")</f>
        <v/>
      </c>
      <c r="AC51" s="5" t="str">
        <f>IF(COUNTIF($N$2:N51,N51)=1, SUMIF(N:N,N51,Z:Z), "")</f>
        <v/>
      </c>
    </row>
    <row r="52" spans="1:33" x14ac:dyDescent="0.35">
      <c r="A52" s="1">
        <f ca="1">IF(B52="","",COUNTA($B$2:B52))</f>
        <v>51</v>
      </c>
      <c r="B52" s="2">
        <f t="shared" ca="1" si="0"/>
        <v>46193</v>
      </c>
      <c r="C52" s="1" t="s">
        <v>200</v>
      </c>
      <c r="D52" s="1" t="s">
        <v>201</v>
      </c>
      <c r="E52" s="1" t="s">
        <v>198</v>
      </c>
      <c r="F52" s="1" t="s">
        <v>199</v>
      </c>
      <c r="G52" s="1">
        <v>90</v>
      </c>
      <c r="H52" s="9">
        <v>5</v>
      </c>
      <c r="I52" s="3" t="str">
        <f>IF(COUNTIF($N$2:N55,N52)=1,
SUMIFS($G:$G,$N:$N,N52),
"")</f>
        <v/>
      </c>
      <c r="J52" s="3" t="str">
        <f>IF(E52&lt;&gt;E51,SUMIF(E:E,E52,Y:Y)," ")</f>
        <v xml:space="preserve"> </v>
      </c>
      <c r="K52" s="4" t="str">
        <f>IF(E52&lt;&gt;E51,SUMIF(E:E,E52,Z:Z)," ")</f>
        <v xml:space="preserve"> </v>
      </c>
      <c r="L52" s="1" t="s">
        <v>35</v>
      </c>
      <c r="M52" s="1" t="s">
        <v>155</v>
      </c>
      <c r="N52" s="9">
        <v>19061918</v>
      </c>
      <c r="O52" s="12">
        <v>0.33333333333333331</v>
      </c>
      <c r="P52" s="5" t="str">
        <f t="shared" si="3"/>
        <v/>
      </c>
      <c r="Q52" s="5" t="s">
        <v>28</v>
      </c>
      <c r="S52" s="1" t="s">
        <v>29</v>
      </c>
      <c r="U52" s="5" t="str">
        <f t="shared" si="4"/>
        <v/>
      </c>
      <c r="W52" s="1" t="str">
        <f>VLOOKUP(E52,'[1]CH DCPT CẤP HÀNG'!$B:$I,8,0)</f>
        <v>GHN</v>
      </c>
      <c r="X52" s="5">
        <f>IF(COUNTIFS($N$2:$N55,N52,$E$2:$E55,E52)=1,1,0)</f>
        <v>0</v>
      </c>
      <c r="Y52" s="5">
        <v>32.874000000000002</v>
      </c>
      <c r="Z52" s="5">
        <v>0.19060779524475524</v>
      </c>
      <c r="AA52" s="5" t="str">
        <f>IF(COUNTIF(L$2:L55,L52)=1,SUMIF(L:L,L52,I:I)/SUMIF(L:L,L52,X:X),"")</f>
        <v/>
      </c>
      <c r="AB52" s="5" t="str">
        <f>IF(COUNTIF($N$2:N55,N52)=1, SUMIF(N:N,N52,Y:Y), "")</f>
        <v/>
      </c>
      <c r="AC52" s="5" t="str">
        <f>IF(COUNTIF($N$2:N55,N52)=1, SUMIF(N:N,N52,Z:Z), "")</f>
        <v/>
      </c>
    </row>
    <row r="53" spans="1:33" x14ac:dyDescent="0.35">
      <c r="A53" s="1">
        <f ca="1">IF(B53="","",COUNTA($B$2:B53))</f>
        <v>52</v>
      </c>
      <c r="B53" s="2">
        <f t="shared" ca="1" si="0"/>
        <v>46193</v>
      </c>
      <c r="C53" s="1" t="s">
        <v>156</v>
      </c>
      <c r="D53" s="1" t="s">
        <v>157</v>
      </c>
      <c r="E53" s="1" t="s">
        <v>158</v>
      </c>
      <c r="F53" s="1" t="s">
        <v>159</v>
      </c>
      <c r="G53" s="1">
        <v>172</v>
      </c>
      <c r="H53" s="9">
        <v>10</v>
      </c>
      <c r="I53" s="3" t="str">
        <f>IF(COUNTIF($N$2:N53,N53)=1,
SUMIFS($G:$G,$N:$N,N53),
"")</f>
        <v/>
      </c>
      <c r="J53" s="3">
        <f>IF(E53&lt;&gt;E55,SUMIF(E:E,E53,Y:Y)," ")</f>
        <v>81.961333333333343</v>
      </c>
      <c r="K53" s="4">
        <f>IF(E53&lt;&gt;E55,SUMIF(E:E,E53,Z:Z)," ")</f>
        <v>0.24189277829486519</v>
      </c>
      <c r="L53" s="1" t="s">
        <v>35</v>
      </c>
      <c r="M53" s="1" t="s">
        <v>155</v>
      </c>
      <c r="N53" s="9">
        <v>19061918</v>
      </c>
      <c r="O53" s="12">
        <v>0.33333333333333331</v>
      </c>
      <c r="P53" s="5" t="str">
        <f t="shared" si="3"/>
        <v/>
      </c>
      <c r="Q53" s="5" t="s">
        <v>28</v>
      </c>
      <c r="S53" s="1" t="s">
        <v>29</v>
      </c>
      <c r="U53" s="5" t="str">
        <f>IF(OR(R53="", N53="", O53=""), "", "LOT SAU KHOẢNG " &amp; TEXT(IF(R53=5, O53+TIME(2,0,0), IF(OR(R53=7, R53=8), O53+TIME(2,48,0), IF(R53=10, O53+TIME(3,48,0), O53))), "hh:mm"))</f>
        <v/>
      </c>
      <c r="W53" s="1" t="str">
        <f>VLOOKUP(E53,'[1]CH DCPT CẤP HÀNG'!$B:$I,8,0)</f>
        <v>GHN</v>
      </c>
      <c r="X53" s="5">
        <f>IF(COUNTIFS($N$2:$N53,N53,$E$2:$E53,E53)=1,1,0)</f>
        <v>1</v>
      </c>
      <c r="Y53" s="5">
        <v>79.816333333333347</v>
      </c>
      <c r="Z53" s="5">
        <v>0.23275431675640365</v>
      </c>
      <c r="AA53" s="5" t="str">
        <f>IF(COUNTIF(L$2:L53,L53)=1,SUMIF(L:L,L53,I:I)/SUMIF(L:L,L53,X:X),"")</f>
        <v/>
      </c>
      <c r="AB53" s="5" t="str">
        <f>IF(COUNTIF($N$2:N53,N53)=1, SUMIF(N:N,N53,Y:Y), "")</f>
        <v/>
      </c>
      <c r="AC53" s="5" t="str">
        <f>IF(COUNTIF($N$2:N53,N53)=1, SUMIF(N:N,N53,Z:Z), "")</f>
        <v/>
      </c>
    </row>
    <row r="54" spans="1:33" x14ac:dyDescent="0.35">
      <c r="A54" s="1">
        <f ca="1">IF(B54="","",COUNTA($B$2:B54))</f>
        <v>53</v>
      </c>
      <c r="B54" s="2">
        <f t="shared" ca="1" si="0"/>
        <v>46193</v>
      </c>
      <c r="C54" s="1" t="s">
        <v>160</v>
      </c>
      <c r="D54" s="1" t="s">
        <v>161</v>
      </c>
      <c r="E54" s="1" t="s">
        <v>158</v>
      </c>
      <c r="F54" s="1" t="s">
        <v>159</v>
      </c>
      <c r="G54" s="1">
        <v>30</v>
      </c>
      <c r="H54" s="9">
        <v>1</v>
      </c>
      <c r="I54" s="3" t="str">
        <f>IF(COUNTIF($N$2:N55,N54)=1,
SUMIFS($G:$G,$N:$N,N54),
"")</f>
        <v/>
      </c>
      <c r="J54" s="3" t="str">
        <f>IF(E54&lt;&gt;E53,SUMIF(E:E,E54,Y:Y)," ")</f>
        <v xml:space="preserve"> </v>
      </c>
      <c r="K54" s="4" t="str">
        <f>IF(E54&lt;&gt;E53,SUMIF(E:E,E54,Z:Z)," ")</f>
        <v xml:space="preserve"> </v>
      </c>
      <c r="L54" s="1" t="s">
        <v>35</v>
      </c>
      <c r="M54" s="1" t="s">
        <v>155</v>
      </c>
      <c r="N54" s="9">
        <v>19061918</v>
      </c>
      <c r="O54" s="12">
        <v>0.33333333333333331</v>
      </c>
      <c r="P54" s="5" t="str">
        <f t="shared" si="3"/>
        <v/>
      </c>
      <c r="Q54" s="5" t="s">
        <v>28</v>
      </c>
      <c r="S54" s="1" t="s">
        <v>29</v>
      </c>
      <c r="U54" s="5" t="str">
        <f>IF(OR(R54="", N54="", O54=""), "", "LOT SAU KHOẢNG " &amp; TEXT(IF(R54=5, O54+TIME(2,0,0), IF(OR(R54=7, R54=8), O54+TIME(2,48,0), IF(R54=10, O54+TIME(3,48,0), O54))), "hh:mm"))</f>
        <v/>
      </c>
      <c r="W54" s="1" t="str">
        <f>VLOOKUP(E54,'[1]CH DCPT CẤP HÀNG'!$B:$I,8,0)</f>
        <v>GHN</v>
      </c>
      <c r="X54" s="5">
        <f>IF(COUNTIFS($N$2:$N55,N54,$E$2:$E55,E54)=1,1,0)</f>
        <v>0</v>
      </c>
      <c r="Y54" s="5">
        <v>2.1450000000000005</v>
      </c>
      <c r="Z54" s="5">
        <v>9.1384615384615397E-3</v>
      </c>
      <c r="AA54" s="5" t="str">
        <f>IF(COUNTIF(L$2:L55,L54)=1,SUMIF(L:L,L54,I:I)/SUMIF(L:L,L54,X:X),"")</f>
        <v/>
      </c>
      <c r="AB54" s="5" t="str">
        <f>IF(COUNTIF($N$2:N55,N54)=1, SUMIF(N:N,N54,Y:Y), "")</f>
        <v/>
      </c>
      <c r="AC54" s="5" t="str">
        <f>IF(COUNTIF($N$2:N55,N54)=1, SUMIF(N:N,N54,Z:Z), "")</f>
        <v/>
      </c>
    </row>
    <row r="55" spans="1:33" x14ac:dyDescent="0.35">
      <c r="A55" s="1">
        <f ca="1">IF(B55="","",COUNTA($B$2:B55))</f>
        <v>54</v>
      </c>
      <c r="B55" s="2">
        <f t="shared" ca="1" si="0"/>
        <v>46193</v>
      </c>
      <c r="C55" s="1" t="s">
        <v>151</v>
      </c>
      <c r="D55" s="1" t="s">
        <v>152</v>
      </c>
      <c r="E55" s="1" t="s">
        <v>153</v>
      </c>
      <c r="F55" s="1" t="s">
        <v>154</v>
      </c>
      <c r="G55" s="1">
        <v>126</v>
      </c>
      <c r="H55" s="9">
        <v>4</v>
      </c>
      <c r="I55" s="20" t="str">
        <f>IF(COUNTIF($N$2:N55,N55)=1,
SUMIFS($G:$G,$N:$N,N55),
"")</f>
        <v/>
      </c>
      <c r="J55" s="20">
        <f>IF(E55&lt;&gt;E35,SUMIF(E:E,E55,Y:Y)," ")</f>
        <v>43.28484444444446</v>
      </c>
      <c r="K55" s="21">
        <f>IF(E55&lt;&gt;E35,SUMIF(E:E,E55,Z:Z)," ")</f>
        <v>0.14806730794871789</v>
      </c>
      <c r="L55" s="1" t="s">
        <v>35</v>
      </c>
      <c r="M55" s="1" t="s">
        <v>155</v>
      </c>
      <c r="N55" s="9">
        <v>19061918</v>
      </c>
      <c r="O55" s="12">
        <v>0.33333333333333331</v>
      </c>
      <c r="P55" s="22" t="str">
        <f t="shared" si="3"/>
        <v/>
      </c>
      <c r="Q55" s="22" t="s">
        <v>28</v>
      </c>
      <c r="S55" s="1" t="s">
        <v>29</v>
      </c>
      <c r="U55" s="22" t="str">
        <f t="shared" ref="U55:U90" si="7">IF(OR(R55="", N55="", O55=""), "", "LOT SAU KHOẢNG " &amp; TEXT(IF(R55=5, O55+TIME(2,0,0), IF(OR(R55=7, R55=8), O55+TIME(2,48,0), IF(R55=10, O55+TIME(3,48,0), O55))), "hh:mm"))</f>
        <v/>
      </c>
      <c r="W55" s="1" t="str">
        <f>VLOOKUP(E55,'[1]CH DCPT CẤP HÀNG'!$B:$I,8,0)</f>
        <v>GHN</v>
      </c>
      <c r="X55" s="22">
        <f>IF(COUNTIFS($N$2:$N55,N55,$E$2:$E55,E55)=1,1,0)</f>
        <v>1</v>
      </c>
      <c r="Y55" s="22">
        <v>43.28484444444446</v>
      </c>
      <c r="Z55" s="22">
        <v>0.14806730794871789</v>
      </c>
      <c r="AA55" s="22" t="str">
        <f>IF(COUNTIF(L$2:L55,L55)=1,SUMIF(L:L,L55,I:I)/SUMIF(L:L,L55,X:X),"")</f>
        <v/>
      </c>
      <c r="AB55" s="22" t="str">
        <f>IF(COUNTIF($N$2:N55,N55)=1, SUMIF(N:N,N55,Y:Y), "")</f>
        <v/>
      </c>
      <c r="AC55" s="22" t="str">
        <f>IF(COUNTIF($N$2:N55,N55)=1, SUMIF(N:N,N55,Z:Z), "")</f>
        <v/>
      </c>
    </row>
    <row r="56" spans="1:33" x14ac:dyDescent="0.35">
      <c r="A56" s="1">
        <f ca="1">IF(B56="","",COUNTA($B$2:B56))</f>
        <v>55</v>
      </c>
      <c r="B56" s="2">
        <f t="shared" ca="1" si="0"/>
        <v>46193</v>
      </c>
      <c r="C56" s="9" t="s">
        <v>203</v>
      </c>
      <c r="D56" s="9" t="s">
        <v>204</v>
      </c>
      <c r="E56" s="9" t="s">
        <v>205</v>
      </c>
      <c r="F56" s="9" t="s">
        <v>206</v>
      </c>
      <c r="G56" s="9">
        <v>270</v>
      </c>
      <c r="H56" s="9">
        <v>16</v>
      </c>
      <c r="I56" s="10">
        <f>IF(COUNTIF($N$2:N56,N56)=1,
SUMIFS($G:$G,$N:$N,N56),
"")</f>
        <v>10003</v>
      </c>
      <c r="J56" s="10">
        <f>IF(E56&lt;&gt;E52,SUMIF(E:E,E56,Y:Y)," ")</f>
        <v>202.25508571428568</v>
      </c>
      <c r="K56" s="11">
        <f>IF(E56&lt;&gt;E52,SUMIF(E:E,E56,Z:Z)," ")</f>
        <v>0.70939356363094896</v>
      </c>
      <c r="L56" s="9" t="s">
        <v>35</v>
      </c>
      <c r="M56" s="9" t="s">
        <v>202</v>
      </c>
      <c r="N56" s="9">
        <v>19061919</v>
      </c>
      <c r="O56" s="12">
        <v>0.33333333333333331</v>
      </c>
      <c r="P56" s="13" t="str">
        <f t="shared" si="3"/>
        <v/>
      </c>
      <c r="Q56" s="13" t="s">
        <v>28</v>
      </c>
      <c r="R56" s="9"/>
      <c r="S56" s="9" t="s">
        <v>29</v>
      </c>
      <c r="T56" s="9"/>
      <c r="U56" s="13" t="str">
        <f t="shared" si="7"/>
        <v/>
      </c>
      <c r="V56" s="9" t="s">
        <v>317</v>
      </c>
      <c r="W56" s="9" t="str">
        <f>VLOOKUP(E56,'[1]CH DCPT CẤP HÀNG'!$B:$I,8,0)</f>
        <v>GHN</v>
      </c>
      <c r="X56" s="13">
        <f>IF(COUNTIFS($N$2:$N56,N56,$E$2:$E56,E56)=1,1,0)</f>
        <v>1</v>
      </c>
      <c r="Y56" s="13">
        <v>170.88708571428569</v>
      </c>
      <c r="Z56" s="13">
        <v>0.58457644632325667</v>
      </c>
      <c r="AA56" s="13" t="str">
        <f>IF(COUNTIF(L$2:L56,L56)=1,SUMIF(L:L,L56,I:I)/SUMIF(L:L,L56,X:X),"")</f>
        <v/>
      </c>
      <c r="AB56" s="13">
        <f>IF(COUNTIF($N$2:N56,N56)=1, SUMIF(N:N,N56,Y:Y), "")</f>
        <v>3739.5289526251536</v>
      </c>
      <c r="AC56" s="13">
        <f>IF(COUNTIF($N$2:N56,N56)=1, SUMIF(N:N,N56,Z:Z), "")</f>
        <v>17.030408600601195</v>
      </c>
      <c r="AD56" s="14" t="s">
        <v>313</v>
      </c>
      <c r="AE56" s="14" t="s">
        <v>314</v>
      </c>
      <c r="AF56" s="15" t="s">
        <v>315</v>
      </c>
      <c r="AG56" s="14" t="s">
        <v>316</v>
      </c>
    </row>
    <row r="57" spans="1:33" x14ac:dyDescent="0.35">
      <c r="A57" s="1">
        <f ca="1">IF(B57="","",COUNTA($B$2:B57))</f>
        <v>56</v>
      </c>
      <c r="B57" s="2">
        <f t="shared" ca="1" si="0"/>
        <v>46193</v>
      </c>
      <c r="C57" s="1" t="s">
        <v>207</v>
      </c>
      <c r="D57" s="1" t="s">
        <v>208</v>
      </c>
      <c r="E57" s="1" t="s">
        <v>205</v>
      </c>
      <c r="F57" s="1" t="s">
        <v>206</v>
      </c>
      <c r="G57" s="1">
        <v>180</v>
      </c>
      <c r="H57" s="9">
        <v>7</v>
      </c>
      <c r="I57" s="7" t="str">
        <f>IF(COUNTIF($N$2:N57,N57)=1,
SUMIFS($G:$G,$N:$N,N57),
"")</f>
        <v/>
      </c>
      <c r="J57" s="7" t="str">
        <f t="shared" ref="J57:J90" si="8">IF(E57&lt;&gt;E56,SUMIF(E:E,E57,Y:Y)," ")</f>
        <v xml:space="preserve"> </v>
      </c>
      <c r="K57" s="4" t="str">
        <f t="shared" ref="K57:K90" si="9">IF(E57&lt;&gt;E56,SUMIF(E:E,E57,Z:Z)," ")</f>
        <v xml:space="preserve"> </v>
      </c>
      <c r="L57" s="1" t="s">
        <v>35</v>
      </c>
      <c r="M57" s="1" t="s">
        <v>202</v>
      </c>
      <c r="N57" s="9">
        <v>19061919</v>
      </c>
      <c r="O57" s="12">
        <v>0.33333333333333331</v>
      </c>
      <c r="P57" s="8" t="str">
        <f t="shared" si="3"/>
        <v/>
      </c>
      <c r="Q57" s="8" t="s">
        <v>28</v>
      </c>
      <c r="S57" s="1" t="s">
        <v>29</v>
      </c>
      <c r="U57" s="8" t="str">
        <f t="shared" si="7"/>
        <v/>
      </c>
      <c r="W57" s="1" t="str">
        <f>VLOOKUP(E57,'[1]CH DCPT CẤP HÀNG'!$B:$I,8,0)</f>
        <v>GHN</v>
      </c>
      <c r="X57" s="8">
        <f>IF(COUNTIFS($N$2:$N57,N57,$E$2:$E57,E57)=1,1,0)</f>
        <v>0</v>
      </c>
      <c r="Y57" s="8">
        <v>31.368000000000002</v>
      </c>
      <c r="Z57" s="8">
        <v>0.12481711730769229</v>
      </c>
      <c r="AA57" s="8" t="str">
        <f>IF(COUNTIF(L$2:L57,L57)=1,SUMIF(L:L,L57,I:I)/SUMIF(L:L,L57,X:X),"")</f>
        <v/>
      </c>
      <c r="AB57" s="8" t="str">
        <f>IF(COUNTIF($N$2:N57,N57)=1, SUMIF(N:N,N57,Y:Y), "")</f>
        <v/>
      </c>
      <c r="AC57" s="8" t="str">
        <f>IF(COUNTIF($N$2:N57,N57)=1, SUMIF(N:N,N57,Z:Z), "")</f>
        <v/>
      </c>
    </row>
    <row r="58" spans="1:33" x14ac:dyDescent="0.35">
      <c r="A58" s="1">
        <f ca="1">IF(B58="","",COUNTA($B$2:B58))</f>
        <v>57</v>
      </c>
      <c r="B58" s="2">
        <f t="shared" ca="1" si="0"/>
        <v>46193</v>
      </c>
      <c r="C58" s="1" t="s">
        <v>209</v>
      </c>
      <c r="D58" s="1" t="s">
        <v>210</v>
      </c>
      <c r="E58" s="1" t="s">
        <v>211</v>
      </c>
      <c r="F58" s="1" t="s">
        <v>212</v>
      </c>
      <c r="G58" s="1">
        <v>202</v>
      </c>
      <c r="H58" s="9">
        <v>14</v>
      </c>
      <c r="I58" s="3" t="str">
        <f>IF(COUNTIF($N$2:N58,N58)=1,
SUMIFS($G:$G,$N:$N,N58),
"")</f>
        <v/>
      </c>
      <c r="J58" s="3">
        <f t="shared" si="8"/>
        <v>122.43119999999999</v>
      </c>
      <c r="K58" s="4">
        <f t="shared" si="9"/>
        <v>0.41686289162179152</v>
      </c>
      <c r="L58" s="1" t="s">
        <v>35</v>
      </c>
      <c r="M58" s="1" t="s">
        <v>202</v>
      </c>
      <c r="N58" s="9">
        <v>19061919</v>
      </c>
      <c r="O58" s="12">
        <v>0.33333333333333331</v>
      </c>
      <c r="P58" s="5" t="str">
        <f t="shared" si="3"/>
        <v/>
      </c>
      <c r="Q58" s="5" t="s">
        <v>28</v>
      </c>
      <c r="S58" s="1" t="s">
        <v>29</v>
      </c>
      <c r="U58" s="5" t="str">
        <f t="shared" si="7"/>
        <v/>
      </c>
      <c r="W58" s="1" t="str">
        <f>VLOOKUP(E58,'[1]CH DCPT CẤP HÀNG'!$B:$I,8,0)</f>
        <v>GHN</v>
      </c>
      <c r="X58" s="5">
        <f>IF(COUNTIFS($N$2:$N58,N58,$E$2:$E58,E58)=1,1,0)</f>
        <v>1</v>
      </c>
      <c r="Y58" s="5">
        <v>89.131199999999993</v>
      </c>
      <c r="Z58" s="5">
        <v>0.29817203072435561</v>
      </c>
      <c r="AA58" s="5" t="str">
        <f>IF(COUNTIF(L$2:L58,L58)=1,SUMIF(L:L,L58,I:I)/SUMIF(L:L,L58,X:X),"")</f>
        <v/>
      </c>
      <c r="AB58" s="5" t="str">
        <f>IF(COUNTIF($N$2:N58,N58)=1, SUMIF(N:N,N58,Y:Y), "")</f>
        <v/>
      </c>
      <c r="AC58" s="5" t="str">
        <f>IF(COUNTIF($N$2:N58,N58)=1, SUMIF(N:N,N58,Z:Z), "")</f>
        <v/>
      </c>
    </row>
    <row r="59" spans="1:33" x14ac:dyDescent="0.35">
      <c r="A59" s="1">
        <f ca="1">IF(B59="","",COUNTA($B$2:B59))</f>
        <v>58</v>
      </c>
      <c r="B59" s="2">
        <f t="shared" ca="1" si="0"/>
        <v>46193</v>
      </c>
      <c r="C59" s="1" t="s">
        <v>213</v>
      </c>
      <c r="D59" s="1" t="s">
        <v>214</v>
      </c>
      <c r="E59" s="1" t="s">
        <v>211</v>
      </c>
      <c r="F59" s="1" t="s">
        <v>212</v>
      </c>
      <c r="G59" s="1">
        <v>172</v>
      </c>
      <c r="H59" s="9">
        <v>7</v>
      </c>
      <c r="I59" s="3" t="str">
        <f>IF(COUNTIF($N$2:N59,N59)=1,
SUMIFS($G:$G,$N:$N,N59),
"")</f>
        <v/>
      </c>
      <c r="J59" s="3" t="str">
        <f t="shared" si="8"/>
        <v xml:space="preserve"> </v>
      </c>
      <c r="K59" s="4" t="str">
        <f t="shared" si="9"/>
        <v xml:space="preserve"> </v>
      </c>
      <c r="L59" s="1" t="s">
        <v>35</v>
      </c>
      <c r="M59" s="1" t="s">
        <v>202</v>
      </c>
      <c r="N59" s="9">
        <v>19061919</v>
      </c>
      <c r="O59" s="12">
        <v>0.33333333333333331</v>
      </c>
      <c r="P59" s="5" t="str">
        <f t="shared" si="3"/>
        <v/>
      </c>
      <c r="Q59" s="5" t="s">
        <v>28</v>
      </c>
      <c r="S59" s="1" t="s">
        <v>29</v>
      </c>
      <c r="U59" s="5" t="str">
        <f t="shared" si="7"/>
        <v/>
      </c>
      <c r="W59" s="1" t="str">
        <f>VLOOKUP(E59,'[1]CH DCPT CẤP HÀNG'!$B:$I,8,0)</f>
        <v>GHN</v>
      </c>
      <c r="X59" s="5">
        <f>IF(COUNTIFS($N$2:$N59,N59,$E$2:$E59,E59)=1,1,0)</f>
        <v>0</v>
      </c>
      <c r="Y59" s="5">
        <v>33.300000000000004</v>
      </c>
      <c r="Z59" s="5">
        <v>0.11869086089743591</v>
      </c>
      <c r="AA59" s="5" t="str">
        <f>IF(COUNTIF(L$2:L59,L59)=1,SUMIF(L:L,L59,I:I)/SUMIF(L:L,L59,X:X),"")</f>
        <v/>
      </c>
      <c r="AB59" s="5" t="str">
        <f>IF(COUNTIF($N$2:N59,N59)=1, SUMIF(N:N,N59,Y:Y), "")</f>
        <v/>
      </c>
      <c r="AC59" s="5" t="str">
        <f>IF(COUNTIF($N$2:N59,N59)=1, SUMIF(N:N,N59,Z:Z), "")</f>
        <v/>
      </c>
    </row>
    <row r="60" spans="1:33" x14ac:dyDescent="0.35">
      <c r="A60" s="1">
        <f ca="1">IF(B60="","",COUNTA($B$2:B60))</f>
        <v>59</v>
      </c>
      <c r="B60" s="2">
        <f t="shared" ca="1" si="0"/>
        <v>46193</v>
      </c>
      <c r="C60" s="1" t="s">
        <v>215</v>
      </c>
      <c r="D60" s="1" t="s">
        <v>216</v>
      </c>
      <c r="E60" s="1" t="s">
        <v>217</v>
      </c>
      <c r="F60" s="1" t="s">
        <v>218</v>
      </c>
      <c r="G60" s="1">
        <v>184</v>
      </c>
      <c r="H60" s="9">
        <v>11</v>
      </c>
      <c r="I60" s="3" t="str">
        <f>IF(COUNTIF($N$2:N60,N60)=1,
SUMIFS($G:$G,$N:$N,N60),
"")</f>
        <v/>
      </c>
      <c r="J60" s="3">
        <f t="shared" si="8"/>
        <v>98.526190476190493</v>
      </c>
      <c r="K60" s="4">
        <f t="shared" si="9"/>
        <v>0.37500926781326632</v>
      </c>
      <c r="L60" s="1" t="s">
        <v>35</v>
      </c>
      <c r="M60" s="1" t="s">
        <v>202</v>
      </c>
      <c r="N60" s="9">
        <v>19061919</v>
      </c>
      <c r="O60" s="12">
        <v>0.33333333333333331</v>
      </c>
      <c r="P60" s="5" t="str">
        <f t="shared" si="3"/>
        <v/>
      </c>
      <c r="Q60" s="5" t="s">
        <v>28</v>
      </c>
      <c r="S60" s="1" t="s">
        <v>29</v>
      </c>
      <c r="U60" s="5" t="str">
        <f t="shared" si="7"/>
        <v/>
      </c>
      <c r="W60" s="1" t="str">
        <f>VLOOKUP(E60,'[1]CH DCPT CẤP HÀNG'!$B:$I,8,0)</f>
        <v>GHN</v>
      </c>
      <c r="X60" s="5">
        <f>IF(COUNTIFS($N$2:$N60,N60,$E$2:$E60,E60)=1,1,0)</f>
        <v>1</v>
      </c>
      <c r="Y60" s="5">
        <v>75.836190476190481</v>
      </c>
      <c r="Z60" s="5">
        <v>0.28942465242865095</v>
      </c>
      <c r="AA60" s="5" t="str">
        <f>IF(COUNTIF(L$2:L60,L60)=1,SUMIF(L:L,L60,I:I)/SUMIF(L:L,L60,X:X),"")</f>
        <v/>
      </c>
      <c r="AB60" s="5" t="str">
        <f>IF(COUNTIF($N$2:N60,N60)=1, SUMIF(N:N,N60,Y:Y), "")</f>
        <v/>
      </c>
      <c r="AC60" s="5" t="str">
        <f>IF(COUNTIF($N$2:N60,N60)=1, SUMIF(N:N,N60,Z:Z), "")</f>
        <v/>
      </c>
    </row>
    <row r="61" spans="1:33" x14ac:dyDescent="0.35">
      <c r="A61" s="1">
        <f ca="1">IF(B61="","",COUNTA($B$2:B61))</f>
        <v>60</v>
      </c>
      <c r="B61" s="2">
        <f t="shared" ca="1" si="0"/>
        <v>46193</v>
      </c>
      <c r="C61" s="1" t="s">
        <v>219</v>
      </c>
      <c r="D61" s="1" t="s">
        <v>220</v>
      </c>
      <c r="E61" s="1" t="s">
        <v>217</v>
      </c>
      <c r="F61" s="1" t="s">
        <v>218</v>
      </c>
      <c r="G61" s="1">
        <v>168</v>
      </c>
      <c r="H61" s="9">
        <v>6</v>
      </c>
      <c r="I61" s="3" t="str">
        <f>IF(COUNTIF($N$2:N61,N61)=1,
SUMIFS($G:$G,$N:$N,N61),
"")</f>
        <v/>
      </c>
      <c r="J61" s="3" t="str">
        <f t="shared" si="8"/>
        <v xml:space="preserve"> </v>
      </c>
      <c r="K61" s="4" t="str">
        <f t="shared" si="9"/>
        <v xml:space="preserve"> </v>
      </c>
      <c r="L61" s="1" t="s">
        <v>35</v>
      </c>
      <c r="M61" s="1" t="s">
        <v>202</v>
      </c>
      <c r="N61" s="9">
        <v>19061919</v>
      </c>
      <c r="O61" s="12">
        <v>0.33333333333333331</v>
      </c>
      <c r="P61" s="5" t="str">
        <f t="shared" si="3"/>
        <v/>
      </c>
      <c r="Q61" s="5" t="s">
        <v>28</v>
      </c>
      <c r="S61" s="1" t="s">
        <v>29</v>
      </c>
      <c r="U61" s="5" t="str">
        <f t="shared" si="7"/>
        <v/>
      </c>
      <c r="W61" s="1" t="str">
        <f>VLOOKUP(E61,'[1]CH DCPT CẤP HÀNG'!$B:$I,8,0)</f>
        <v>GHN</v>
      </c>
      <c r="X61" s="5">
        <f>IF(COUNTIFS($N$2:$N61,N61,$E$2:$E61,E61)=1,1,0)</f>
        <v>0</v>
      </c>
      <c r="Y61" s="5">
        <v>22.690000000000005</v>
      </c>
      <c r="Z61" s="5">
        <v>8.5584615384615384E-2</v>
      </c>
      <c r="AA61" s="5" t="str">
        <f>IF(COUNTIF(L$2:L61,L61)=1,SUMIF(L:L,L61,I:I)/SUMIF(L:L,L61,X:X),"")</f>
        <v/>
      </c>
      <c r="AB61" s="5" t="str">
        <f>IF(COUNTIF($N$2:N61,N61)=1, SUMIF(N:N,N61,Y:Y), "")</f>
        <v/>
      </c>
      <c r="AC61" s="5" t="str">
        <f>IF(COUNTIF($N$2:N61,N61)=1, SUMIF(N:N,N61,Z:Z), "")</f>
        <v/>
      </c>
    </row>
    <row r="62" spans="1:33" x14ac:dyDescent="0.35">
      <c r="A62" s="1">
        <f ca="1">IF(B62="","",COUNTA($B$2:B62))</f>
        <v>61</v>
      </c>
      <c r="B62" s="2">
        <f t="shared" ca="1" si="0"/>
        <v>46193</v>
      </c>
      <c r="C62" s="1" t="s">
        <v>221</v>
      </c>
      <c r="D62" s="1" t="s">
        <v>222</v>
      </c>
      <c r="E62" s="1" t="s">
        <v>223</v>
      </c>
      <c r="F62" s="1" t="s">
        <v>224</v>
      </c>
      <c r="G62" s="1">
        <v>146</v>
      </c>
      <c r="H62" s="9">
        <v>9</v>
      </c>
      <c r="I62" s="3" t="str">
        <f>IF(COUNTIF($N$2:N62,N62)=1,
SUMIFS($G:$G,$N:$N,N62),
"")</f>
        <v/>
      </c>
      <c r="J62" s="3">
        <f t="shared" si="8"/>
        <v>150.94999999999999</v>
      </c>
      <c r="K62" s="4">
        <f t="shared" si="9"/>
        <v>0.35035529738461546</v>
      </c>
      <c r="L62" s="1" t="s">
        <v>35</v>
      </c>
      <c r="M62" s="1" t="s">
        <v>202</v>
      </c>
      <c r="N62" s="9">
        <v>19061919</v>
      </c>
      <c r="O62" s="12">
        <v>0.33333333333333331</v>
      </c>
      <c r="P62" s="5" t="str">
        <f t="shared" si="3"/>
        <v/>
      </c>
      <c r="Q62" s="5" t="s">
        <v>28</v>
      </c>
      <c r="S62" s="1" t="s">
        <v>29</v>
      </c>
      <c r="U62" s="5" t="str">
        <f t="shared" si="7"/>
        <v/>
      </c>
      <c r="W62" s="1" t="str">
        <f>VLOOKUP(E62,'[1]CH DCPT CẤP HÀNG'!$B:$I,8,0)</f>
        <v>GHN</v>
      </c>
      <c r="X62" s="5">
        <f>IF(COUNTIFS($N$2:$N62,N62,$E$2:$E62,E62)=1,1,0)</f>
        <v>1</v>
      </c>
      <c r="Y62" s="5">
        <v>110.19199999999999</v>
      </c>
      <c r="Z62" s="5">
        <v>0.25921845892307699</v>
      </c>
      <c r="AA62" s="5" t="str">
        <f>IF(COUNTIF(L$2:L62,L62)=1,SUMIF(L:L,L62,I:I)/SUMIF(L:L,L62,X:X),"")</f>
        <v/>
      </c>
      <c r="AB62" s="5" t="str">
        <f>IF(COUNTIF($N$2:N62,N62)=1, SUMIF(N:N,N62,Y:Y), "")</f>
        <v/>
      </c>
      <c r="AC62" s="5" t="str">
        <f>IF(COUNTIF($N$2:N62,N62)=1, SUMIF(N:N,N62,Z:Z), "")</f>
        <v/>
      </c>
    </row>
    <row r="63" spans="1:33" x14ac:dyDescent="0.35">
      <c r="A63" s="1">
        <f ca="1">IF(B63="","",COUNTA($B$2:B63))</f>
        <v>62</v>
      </c>
      <c r="B63" s="2">
        <f t="shared" ca="1" si="0"/>
        <v>46193</v>
      </c>
      <c r="C63" s="1" t="s">
        <v>225</v>
      </c>
      <c r="D63" s="1" t="s">
        <v>226</v>
      </c>
      <c r="E63" s="1" t="s">
        <v>223</v>
      </c>
      <c r="F63" s="1" t="s">
        <v>224</v>
      </c>
      <c r="G63" s="1">
        <v>186</v>
      </c>
      <c r="H63" s="9">
        <v>7</v>
      </c>
      <c r="I63" s="3" t="str">
        <f>IF(COUNTIF($N$2:N63,N63)=1,
SUMIFS($G:$G,$N:$N,N63),
"")</f>
        <v/>
      </c>
      <c r="J63" s="3" t="str">
        <f t="shared" si="8"/>
        <v xml:space="preserve"> </v>
      </c>
      <c r="K63" s="4" t="str">
        <f t="shared" si="9"/>
        <v xml:space="preserve"> </v>
      </c>
      <c r="L63" s="1" t="s">
        <v>35</v>
      </c>
      <c r="M63" s="1" t="s">
        <v>202</v>
      </c>
      <c r="N63" s="9">
        <v>19061919</v>
      </c>
      <c r="O63" s="12">
        <v>0.33333333333333331</v>
      </c>
      <c r="P63" s="5" t="str">
        <f t="shared" si="3"/>
        <v/>
      </c>
      <c r="Q63" s="5" t="s">
        <v>28</v>
      </c>
      <c r="S63" s="1" t="s">
        <v>29</v>
      </c>
      <c r="U63" s="5" t="str">
        <f t="shared" si="7"/>
        <v/>
      </c>
      <c r="W63" s="1" t="str">
        <f>VLOOKUP(E63,'[1]CH DCPT CẤP HÀNG'!$B:$I,8,0)</f>
        <v>GHN</v>
      </c>
      <c r="X63" s="5">
        <f>IF(COUNTIFS($N$2:$N63,N63,$E$2:$E63,E63)=1,1,0)</f>
        <v>0</v>
      </c>
      <c r="Y63" s="5">
        <v>40.758000000000003</v>
      </c>
      <c r="Z63" s="5">
        <v>9.1136838461538472E-2</v>
      </c>
      <c r="AA63" s="5" t="str">
        <f>IF(COUNTIF(L$2:L63,L63)=1,SUMIF(L:L,L63,I:I)/SUMIF(L:L,L63,X:X),"")</f>
        <v/>
      </c>
      <c r="AB63" s="5" t="str">
        <f>IF(COUNTIF($N$2:N63,N63)=1, SUMIF(N:N,N63,Y:Y), "")</f>
        <v/>
      </c>
      <c r="AC63" s="5" t="str">
        <f>IF(COUNTIF($N$2:N63,N63)=1, SUMIF(N:N,N63,Z:Z), "")</f>
        <v/>
      </c>
    </row>
    <row r="64" spans="1:33" x14ac:dyDescent="0.35">
      <c r="A64" s="1">
        <f ca="1">IF(B64="","",COUNTA($B$2:B64))</f>
        <v>63</v>
      </c>
      <c r="B64" s="2">
        <f t="shared" ca="1" si="0"/>
        <v>46193</v>
      </c>
      <c r="C64" s="1" t="s">
        <v>227</v>
      </c>
      <c r="D64" s="1" t="s">
        <v>228</v>
      </c>
      <c r="E64" s="1" t="s">
        <v>229</v>
      </c>
      <c r="F64" s="1" t="s">
        <v>230</v>
      </c>
      <c r="G64" s="1">
        <v>223</v>
      </c>
      <c r="H64" s="9">
        <v>17</v>
      </c>
      <c r="I64" s="3" t="str">
        <f>IF(COUNTIF($N$2:N64,N64)=1,
SUMIFS($G:$G,$N:$N,N64),
"")</f>
        <v/>
      </c>
      <c r="J64" s="3">
        <f t="shared" si="8"/>
        <v>157.50873333333328</v>
      </c>
      <c r="K64" s="4">
        <f t="shared" si="9"/>
        <v>0.520207294263488</v>
      </c>
      <c r="L64" s="1" t="s">
        <v>35</v>
      </c>
      <c r="M64" s="1" t="s">
        <v>202</v>
      </c>
      <c r="N64" s="9">
        <v>19061919</v>
      </c>
      <c r="O64" s="12">
        <v>0.33333333333333331</v>
      </c>
      <c r="P64" s="5" t="str">
        <f t="shared" si="3"/>
        <v/>
      </c>
      <c r="Q64" s="5" t="s">
        <v>28</v>
      </c>
      <c r="S64" s="1" t="s">
        <v>29</v>
      </c>
      <c r="U64" s="5" t="str">
        <f t="shared" si="7"/>
        <v/>
      </c>
      <c r="W64" s="1" t="str">
        <f>VLOOKUP(E64,'[1]CH DCPT CẤP HÀNG'!$B:$I,8,0)</f>
        <v>GHN</v>
      </c>
      <c r="X64" s="5">
        <f>IF(COUNTIFS($N$2:$N64,N64,$E$2:$E64,E64)=1,1,0)</f>
        <v>1</v>
      </c>
      <c r="Y64" s="5">
        <v>141.90873333333329</v>
      </c>
      <c r="Z64" s="5">
        <v>0.47559810195579572</v>
      </c>
      <c r="AA64" s="5" t="str">
        <f>IF(COUNTIF(L$2:L64,L64)=1,SUMIF(L:L,L64,I:I)/SUMIF(L:L,L64,X:X),"")</f>
        <v/>
      </c>
      <c r="AB64" s="5" t="str">
        <f>IF(COUNTIF($N$2:N64,N64)=1, SUMIF(N:N,N64,Y:Y), "")</f>
        <v/>
      </c>
      <c r="AC64" s="5" t="str">
        <f>IF(COUNTIF($N$2:N64,N64)=1, SUMIF(N:N,N64,Z:Z), "")</f>
        <v/>
      </c>
    </row>
    <row r="65" spans="1:29" x14ac:dyDescent="0.35">
      <c r="A65" s="1">
        <f ca="1">IF(B65="","",COUNTA($B$2:B65))</f>
        <v>64</v>
      </c>
      <c r="B65" s="2">
        <f t="shared" ca="1" si="0"/>
        <v>46193</v>
      </c>
      <c r="C65" s="1" t="s">
        <v>231</v>
      </c>
      <c r="D65" s="1" t="s">
        <v>232</v>
      </c>
      <c r="E65" s="1" t="s">
        <v>229</v>
      </c>
      <c r="F65" s="1" t="s">
        <v>230</v>
      </c>
      <c r="G65" s="1">
        <v>78</v>
      </c>
      <c r="H65" s="9">
        <v>3</v>
      </c>
      <c r="I65" s="3" t="str">
        <f>IF(COUNTIF($N$2:N65,N65)=1,
SUMIFS($G:$G,$N:$N,N65),
"")</f>
        <v/>
      </c>
      <c r="J65" s="3" t="str">
        <f t="shared" si="8"/>
        <v xml:space="preserve"> </v>
      </c>
      <c r="K65" s="4" t="str">
        <f t="shared" si="9"/>
        <v xml:space="preserve"> </v>
      </c>
      <c r="L65" s="1" t="s">
        <v>35</v>
      </c>
      <c r="M65" s="1" t="s">
        <v>202</v>
      </c>
      <c r="N65" s="9">
        <v>19061919</v>
      </c>
      <c r="O65" s="12">
        <v>0.33333333333333331</v>
      </c>
      <c r="P65" s="5" t="str">
        <f t="shared" si="3"/>
        <v/>
      </c>
      <c r="Q65" s="5" t="s">
        <v>28</v>
      </c>
      <c r="S65" s="1" t="s">
        <v>29</v>
      </c>
      <c r="U65" s="5" t="str">
        <f t="shared" si="7"/>
        <v/>
      </c>
      <c r="W65" s="1" t="str">
        <f>VLOOKUP(E65,'[1]CH DCPT CẤP HÀNG'!$B:$I,8,0)</f>
        <v>GHN</v>
      </c>
      <c r="X65" s="5">
        <f>IF(COUNTIFS($N$2:$N65,N65,$E$2:$E65,E65)=1,1,0)</f>
        <v>0</v>
      </c>
      <c r="Y65" s="5">
        <v>15.600000000000001</v>
      </c>
      <c r="Z65" s="5">
        <v>4.4609192307692308E-2</v>
      </c>
      <c r="AA65" s="5" t="str">
        <f>IF(COUNTIF(L$2:L65,L65)=1,SUMIF(L:L,L65,I:I)/SUMIF(L:L,L65,X:X),"")</f>
        <v/>
      </c>
      <c r="AB65" s="5" t="str">
        <f>IF(COUNTIF($N$2:N65,N65)=1, SUMIF(N:N,N65,Y:Y), "")</f>
        <v/>
      </c>
      <c r="AC65" s="5" t="str">
        <f>IF(COUNTIF($N$2:N65,N65)=1, SUMIF(N:N,N65,Z:Z), "")</f>
        <v/>
      </c>
    </row>
    <row r="66" spans="1:29" x14ac:dyDescent="0.35">
      <c r="A66" s="1">
        <f ca="1">IF(B66="","",COUNTA($B$2:B66))</f>
        <v>65</v>
      </c>
      <c r="B66" s="2">
        <f t="shared" ref="B66:B90" ca="1" si="10">TODAY()+1</f>
        <v>46193</v>
      </c>
      <c r="C66" s="1" t="s">
        <v>233</v>
      </c>
      <c r="D66" s="1" t="s">
        <v>234</v>
      </c>
      <c r="E66" s="1" t="s">
        <v>235</v>
      </c>
      <c r="F66" s="1" t="s">
        <v>236</v>
      </c>
      <c r="G66" s="1">
        <v>276</v>
      </c>
      <c r="H66" s="9">
        <v>17</v>
      </c>
      <c r="I66" s="3" t="str">
        <f>IF(COUNTIF($N$2:N66,N66)=1,
SUMIFS($G:$G,$N:$N,N66),
"")</f>
        <v/>
      </c>
      <c r="J66" s="3">
        <f t="shared" si="8"/>
        <v>191.00017777777771</v>
      </c>
      <c r="K66" s="4">
        <f t="shared" si="9"/>
        <v>0.69088522352923065</v>
      </c>
      <c r="L66" s="1" t="s">
        <v>35</v>
      </c>
      <c r="M66" s="1" t="s">
        <v>202</v>
      </c>
      <c r="N66" s="9">
        <v>19061919</v>
      </c>
      <c r="O66" s="12">
        <v>0.33333333333333331</v>
      </c>
      <c r="P66" s="5" t="str">
        <f t="shared" ref="P66:P90" si="11">IF(R66="","",COUNTIFS($N:$N,N66,$X:$X,"1"))</f>
        <v/>
      </c>
      <c r="Q66" s="5" t="s">
        <v>28</v>
      </c>
      <c r="S66" s="1" t="s">
        <v>29</v>
      </c>
      <c r="U66" s="5" t="str">
        <f t="shared" si="7"/>
        <v/>
      </c>
      <c r="W66" s="1" t="str">
        <f>VLOOKUP(E66,'[1]CH DCPT CẤP HÀNG'!$B:$I,8,0)</f>
        <v>GHN</v>
      </c>
      <c r="X66" s="5">
        <f>IF(COUNTIFS($N$2:$N66,N66,$E$2:$E66,E66)=1,1,0)</f>
        <v>1</v>
      </c>
      <c r="Y66" s="5">
        <v>156.0221777777777</v>
      </c>
      <c r="Z66" s="5">
        <v>0.60641712506769219</v>
      </c>
      <c r="AA66" s="5" t="str">
        <f>IF(COUNTIF(L$2:L66,L66)=1,SUMIF(L:L,L66,I:I)/SUMIF(L:L,L66,X:X),"")</f>
        <v/>
      </c>
      <c r="AB66" s="5" t="str">
        <f>IF(COUNTIF($N$2:N66,N66)=1, SUMIF(N:N,N66,Y:Y), "")</f>
        <v/>
      </c>
      <c r="AC66" s="5" t="str">
        <f>IF(COUNTIF($N$2:N66,N66)=1, SUMIF(N:N,N66,Z:Z), "")</f>
        <v/>
      </c>
    </row>
    <row r="67" spans="1:29" x14ac:dyDescent="0.35">
      <c r="A67" s="1">
        <f ca="1">IF(B67="","",COUNTA($B$2:B67))</f>
        <v>66</v>
      </c>
      <c r="B67" s="2">
        <f t="shared" ca="1" si="10"/>
        <v>46193</v>
      </c>
      <c r="C67" s="1" t="s">
        <v>237</v>
      </c>
      <c r="D67" s="1" t="s">
        <v>238</v>
      </c>
      <c r="E67" s="1" t="s">
        <v>235</v>
      </c>
      <c r="F67" s="1" t="s">
        <v>236</v>
      </c>
      <c r="G67" s="1">
        <v>162</v>
      </c>
      <c r="H67" s="9">
        <v>6</v>
      </c>
      <c r="I67" s="3" t="str">
        <f>IF(COUNTIF($N$2:N67,N67)=1,
SUMIFS($G:$G,$N:$N,N67),
"")</f>
        <v/>
      </c>
      <c r="J67" s="3" t="str">
        <f t="shared" si="8"/>
        <v xml:space="preserve"> </v>
      </c>
      <c r="K67" s="4" t="str">
        <f t="shared" si="9"/>
        <v xml:space="preserve"> </v>
      </c>
      <c r="L67" s="1" t="s">
        <v>35</v>
      </c>
      <c r="M67" s="1" t="s">
        <v>202</v>
      </c>
      <c r="N67" s="9">
        <v>19061919</v>
      </c>
      <c r="O67" s="12">
        <v>0.33333333333333331</v>
      </c>
      <c r="P67" s="5" t="str">
        <f t="shared" si="11"/>
        <v/>
      </c>
      <c r="Q67" s="5" t="s">
        <v>28</v>
      </c>
      <c r="S67" s="1" t="s">
        <v>29</v>
      </c>
      <c r="U67" s="5" t="str">
        <f t="shared" si="7"/>
        <v/>
      </c>
      <c r="W67" s="1" t="str">
        <f>VLOOKUP(E67,'[1]CH DCPT CẤP HÀNG'!$B:$I,8,0)</f>
        <v>GHN</v>
      </c>
      <c r="X67" s="5">
        <f>IF(COUNTIFS($N$2:$N67,N67,$E$2:$E67,E67)=1,1,0)</f>
        <v>0</v>
      </c>
      <c r="Y67" s="5">
        <v>34.978000000000009</v>
      </c>
      <c r="Z67" s="5">
        <v>8.4468098461538466E-2</v>
      </c>
      <c r="AA67" s="5" t="str">
        <f>IF(COUNTIF(L$2:L67,L67)=1,SUMIF(L:L,L67,I:I)/SUMIF(L:L,L67,X:X),"")</f>
        <v/>
      </c>
      <c r="AB67" s="5" t="str">
        <f>IF(COUNTIF($N$2:N67,N67)=1, SUMIF(N:N,N67,Y:Y), "")</f>
        <v/>
      </c>
      <c r="AC67" s="5" t="str">
        <f>IF(COUNTIF($N$2:N67,N67)=1, SUMIF(N:N,N67,Z:Z), "")</f>
        <v/>
      </c>
    </row>
    <row r="68" spans="1:29" x14ac:dyDescent="0.35">
      <c r="A68" s="1">
        <f ca="1">IF(B68="","",COUNTA($B$2:B68))</f>
        <v>67</v>
      </c>
      <c r="B68" s="2">
        <f t="shared" ca="1" si="10"/>
        <v>46193</v>
      </c>
      <c r="C68" s="1" t="s">
        <v>239</v>
      </c>
      <c r="D68" s="1" t="s">
        <v>240</v>
      </c>
      <c r="E68" s="1" t="s">
        <v>241</v>
      </c>
      <c r="F68" s="1" t="s">
        <v>242</v>
      </c>
      <c r="G68" s="1">
        <v>237</v>
      </c>
      <c r="H68" s="9">
        <v>14</v>
      </c>
      <c r="I68" s="3" t="str">
        <f>IF(COUNTIF($N$2:N68,N68)=1,
SUMIFS($G:$G,$N:$N,N68),
"")</f>
        <v/>
      </c>
      <c r="J68" s="3">
        <f t="shared" si="8"/>
        <v>180.06036507936506</v>
      </c>
      <c r="K68" s="4">
        <f t="shared" si="9"/>
        <v>0.66845458380747136</v>
      </c>
      <c r="L68" s="1" t="s">
        <v>35</v>
      </c>
      <c r="M68" s="1" t="s">
        <v>202</v>
      </c>
      <c r="N68" s="9">
        <v>19061919</v>
      </c>
      <c r="O68" s="12">
        <v>0.33333333333333331</v>
      </c>
      <c r="P68" s="5" t="str">
        <f t="shared" si="11"/>
        <v/>
      </c>
      <c r="Q68" s="5" t="s">
        <v>28</v>
      </c>
      <c r="S68" s="1" t="s">
        <v>29</v>
      </c>
      <c r="U68" s="5" t="str">
        <f t="shared" si="7"/>
        <v/>
      </c>
      <c r="W68" s="1" t="str">
        <f>VLOOKUP(E68,'[1]CH DCPT CẤP HÀNG'!$B:$I,8,0)</f>
        <v>GHN</v>
      </c>
      <c r="X68" s="5">
        <f>IF(COUNTIFS($N$2:$N68,N68,$E$2:$E68,E68)=1,1,0)</f>
        <v>1</v>
      </c>
      <c r="Y68" s="5">
        <v>113.91836507936503</v>
      </c>
      <c r="Z68" s="5">
        <v>0.50219099060234318</v>
      </c>
      <c r="AA68" s="5" t="str">
        <f>IF(COUNTIF(L$2:L68,L68)=1,SUMIF(L:L,L68,I:I)/SUMIF(L:L,L68,X:X),"")</f>
        <v/>
      </c>
      <c r="AB68" s="5" t="str">
        <f>IF(COUNTIF($N$2:N68,N68)=1, SUMIF(N:N,N68,Y:Y), "")</f>
        <v/>
      </c>
      <c r="AC68" s="5" t="str">
        <f>IF(COUNTIF($N$2:N68,N68)=1, SUMIF(N:N,N68,Z:Z), "")</f>
        <v/>
      </c>
    </row>
    <row r="69" spans="1:29" x14ac:dyDescent="0.35">
      <c r="A69" s="1">
        <f ca="1">IF(B69="","",COUNTA($B$2:B69))</f>
        <v>68</v>
      </c>
      <c r="B69" s="2">
        <f t="shared" ca="1" si="10"/>
        <v>46193</v>
      </c>
      <c r="C69" s="1" t="s">
        <v>243</v>
      </c>
      <c r="D69" s="1" t="s">
        <v>244</v>
      </c>
      <c r="E69" s="1" t="s">
        <v>241</v>
      </c>
      <c r="F69" s="1" t="s">
        <v>242</v>
      </c>
      <c r="G69" s="1">
        <v>246</v>
      </c>
      <c r="H69" s="9">
        <v>10</v>
      </c>
      <c r="I69" s="3" t="str">
        <f>IF(COUNTIF($N$2:N69,N69)=1,
SUMIFS($G:$G,$N:$N,N69),
"")</f>
        <v/>
      </c>
      <c r="J69" s="3" t="str">
        <f t="shared" si="8"/>
        <v xml:space="preserve"> </v>
      </c>
      <c r="K69" s="4" t="str">
        <f t="shared" si="9"/>
        <v xml:space="preserve"> </v>
      </c>
      <c r="L69" s="1" t="s">
        <v>35</v>
      </c>
      <c r="M69" s="1" t="s">
        <v>202</v>
      </c>
      <c r="N69" s="9">
        <v>19061919</v>
      </c>
      <c r="O69" s="12">
        <v>0.33333333333333331</v>
      </c>
      <c r="P69" s="5" t="str">
        <f t="shared" si="11"/>
        <v/>
      </c>
      <c r="Q69" s="5" t="s">
        <v>28</v>
      </c>
      <c r="S69" s="1" t="s">
        <v>29</v>
      </c>
      <c r="U69" s="5" t="str">
        <f t="shared" si="7"/>
        <v/>
      </c>
      <c r="W69" s="1" t="str">
        <f>VLOOKUP(E69,'[1]CH DCPT CẤP HÀNG'!$B:$I,8,0)</f>
        <v>GHN</v>
      </c>
      <c r="X69" s="5">
        <f>IF(COUNTIFS($N$2:$N69,N69,$E$2:$E69,E69)=1,1,0)</f>
        <v>0</v>
      </c>
      <c r="Y69" s="5">
        <v>66.14200000000001</v>
      </c>
      <c r="Z69" s="5">
        <v>0.16626359320512818</v>
      </c>
      <c r="AA69" s="5" t="str">
        <f>IF(COUNTIF(L$2:L69,L69)=1,SUMIF(L:L,L69,I:I)/SUMIF(L:L,L69,X:X),"")</f>
        <v/>
      </c>
      <c r="AB69" s="5" t="str">
        <f>IF(COUNTIF($N$2:N69,N69)=1, SUMIF(N:N,N69,Y:Y), "")</f>
        <v/>
      </c>
      <c r="AC69" s="5" t="str">
        <f>IF(COUNTIF($N$2:N69,N69)=1, SUMIF(N:N,N69,Z:Z), "")</f>
        <v/>
      </c>
    </row>
    <row r="70" spans="1:29" x14ac:dyDescent="0.35">
      <c r="A70" s="1">
        <f ca="1">IF(B70="","",COUNTA($B$2:B70))</f>
        <v>69</v>
      </c>
      <c r="B70" s="2">
        <f t="shared" ca="1" si="10"/>
        <v>46193</v>
      </c>
      <c r="C70" s="1" t="s">
        <v>245</v>
      </c>
      <c r="D70" s="1" t="s">
        <v>246</v>
      </c>
      <c r="E70" s="1" t="s">
        <v>247</v>
      </c>
      <c r="F70" s="1" t="s">
        <v>248</v>
      </c>
      <c r="G70" s="1">
        <v>322</v>
      </c>
      <c r="H70" s="9">
        <v>19</v>
      </c>
      <c r="I70" s="3" t="str">
        <f>IF(COUNTIF($N$2:N70,N70)=1,
SUMIFS($G:$G,$N:$N,N70),
"")</f>
        <v/>
      </c>
      <c r="J70" s="3">
        <f t="shared" si="8"/>
        <v>214.86868888888893</v>
      </c>
      <c r="K70" s="4">
        <f t="shared" si="9"/>
        <v>0.81716596586752099</v>
      </c>
      <c r="L70" s="1" t="s">
        <v>35</v>
      </c>
      <c r="M70" s="1" t="s">
        <v>202</v>
      </c>
      <c r="N70" s="9">
        <v>19061919</v>
      </c>
      <c r="O70" s="12">
        <v>0.33333333333333331</v>
      </c>
      <c r="P70" s="5" t="str">
        <f t="shared" si="11"/>
        <v/>
      </c>
      <c r="Q70" s="5" t="s">
        <v>28</v>
      </c>
      <c r="S70" s="1" t="s">
        <v>29</v>
      </c>
      <c r="U70" s="5" t="str">
        <f t="shared" si="7"/>
        <v/>
      </c>
      <c r="W70" s="1" t="str">
        <f>VLOOKUP(E70,'[1]CH DCPT CẤP HÀNG'!$B:$I,8,0)</f>
        <v>GHN</v>
      </c>
      <c r="X70" s="5">
        <f>IF(COUNTIFS($N$2:$N70,N70,$E$2:$E70,E70)=1,1,0)</f>
        <v>1</v>
      </c>
      <c r="Y70" s="5">
        <v>136.85568888888892</v>
      </c>
      <c r="Z70" s="5">
        <v>0.57980096394444414</v>
      </c>
      <c r="AA70" s="5" t="str">
        <f>IF(COUNTIF(L$2:L70,L70)=1,SUMIF(L:L,L70,I:I)/SUMIF(L:L,L70,X:X),"")</f>
        <v/>
      </c>
      <c r="AB70" s="5" t="str">
        <f>IF(COUNTIF($N$2:N70,N70)=1, SUMIF(N:N,N70,Y:Y), "")</f>
        <v/>
      </c>
      <c r="AC70" s="5" t="str">
        <f>IF(COUNTIF($N$2:N70,N70)=1, SUMIF(N:N,N70,Z:Z), "")</f>
        <v/>
      </c>
    </row>
    <row r="71" spans="1:29" x14ac:dyDescent="0.35">
      <c r="A71" s="1">
        <f ca="1">IF(B71="","",COUNTA($B$2:B71))</f>
        <v>70</v>
      </c>
      <c r="B71" s="2">
        <f t="shared" ca="1" si="10"/>
        <v>46193</v>
      </c>
      <c r="C71" s="1" t="s">
        <v>249</v>
      </c>
      <c r="D71" s="1" t="s">
        <v>250</v>
      </c>
      <c r="E71" s="1" t="s">
        <v>247</v>
      </c>
      <c r="F71" s="1" t="s">
        <v>248</v>
      </c>
      <c r="G71" s="1">
        <v>298</v>
      </c>
      <c r="H71" s="9">
        <v>13</v>
      </c>
      <c r="I71" s="3" t="str">
        <f>IF(COUNTIF($N$2:N71,N71)=1,
SUMIFS($G:$G,$N:$N,N71),
"")</f>
        <v/>
      </c>
      <c r="J71" s="3" t="str">
        <f t="shared" si="8"/>
        <v xml:space="preserve"> </v>
      </c>
      <c r="K71" s="4" t="str">
        <f t="shared" si="9"/>
        <v xml:space="preserve"> </v>
      </c>
      <c r="L71" s="1" t="s">
        <v>35</v>
      </c>
      <c r="M71" s="1" t="s">
        <v>202</v>
      </c>
      <c r="N71" s="9">
        <v>19061919</v>
      </c>
      <c r="O71" s="12">
        <v>0.33333333333333331</v>
      </c>
      <c r="P71" s="5" t="str">
        <f t="shared" si="11"/>
        <v/>
      </c>
      <c r="Q71" s="5" t="s">
        <v>28</v>
      </c>
      <c r="S71" s="1" t="s">
        <v>29</v>
      </c>
      <c r="U71" s="5" t="str">
        <f t="shared" si="7"/>
        <v/>
      </c>
      <c r="W71" s="1" t="str">
        <f>VLOOKUP(E71,'[1]CH DCPT CẤP HÀNG'!$B:$I,8,0)</f>
        <v>GHN</v>
      </c>
      <c r="X71" s="5">
        <f>IF(COUNTIFS($N$2:$N71,N71,$E$2:$E71,E71)=1,1,0)</f>
        <v>0</v>
      </c>
      <c r="Y71" s="5">
        <v>78.013000000000005</v>
      </c>
      <c r="Z71" s="5">
        <v>0.23736500192307691</v>
      </c>
      <c r="AA71" s="5" t="str">
        <f>IF(COUNTIF(L$2:L71,L71)=1,SUMIF(L:L,L71,I:I)/SUMIF(L:L,L71,X:X),"")</f>
        <v/>
      </c>
      <c r="AB71" s="5" t="str">
        <f>IF(COUNTIF($N$2:N71,N71)=1, SUMIF(N:N,N71,Y:Y), "")</f>
        <v/>
      </c>
      <c r="AC71" s="5" t="str">
        <f>IF(COUNTIF($N$2:N71,N71)=1, SUMIF(N:N,N71,Z:Z), "")</f>
        <v/>
      </c>
    </row>
    <row r="72" spans="1:29" x14ac:dyDescent="0.35">
      <c r="A72" s="1">
        <f ca="1">IF(B72="","",COUNTA($B$2:B72))</f>
        <v>71</v>
      </c>
      <c r="B72" s="2">
        <f t="shared" ca="1" si="10"/>
        <v>46193</v>
      </c>
      <c r="C72" s="1" t="s">
        <v>251</v>
      </c>
      <c r="D72" s="1" t="s">
        <v>252</v>
      </c>
      <c r="E72" s="1" t="s">
        <v>253</v>
      </c>
      <c r="F72" s="1" t="s">
        <v>254</v>
      </c>
      <c r="G72" s="1">
        <v>296</v>
      </c>
      <c r="H72" s="9">
        <v>20</v>
      </c>
      <c r="I72" s="3" t="str">
        <f>IF(COUNTIF($N$2:N72,N72)=1,
SUMIFS($G:$G,$N:$N,N72),
"")</f>
        <v/>
      </c>
      <c r="J72" s="3">
        <f t="shared" si="8"/>
        <v>296.89350476190475</v>
      </c>
      <c r="K72" s="4">
        <f t="shared" si="9"/>
        <v>0.88151273162898358</v>
      </c>
      <c r="L72" s="1" t="s">
        <v>35</v>
      </c>
      <c r="M72" s="1" t="s">
        <v>202</v>
      </c>
      <c r="N72" s="9">
        <v>19061919</v>
      </c>
      <c r="O72" s="12">
        <v>0.33333333333333331</v>
      </c>
      <c r="P72" s="5" t="str">
        <f t="shared" si="11"/>
        <v/>
      </c>
      <c r="Q72" s="5" t="s">
        <v>28</v>
      </c>
      <c r="S72" s="1" t="s">
        <v>29</v>
      </c>
      <c r="U72" s="5" t="str">
        <f t="shared" si="7"/>
        <v/>
      </c>
      <c r="W72" s="1" t="str">
        <f>VLOOKUP(E72,'[1]CH DCPT CẤP HÀNG'!$B:$I,8,0)</f>
        <v>GHN</v>
      </c>
      <c r="X72" s="5">
        <f>IF(COUNTIFS($N$2:$N72,N72,$E$2:$E72,E72)=1,1,0)</f>
        <v>1</v>
      </c>
      <c r="Y72" s="5">
        <v>206.27850476190477</v>
      </c>
      <c r="Z72" s="5">
        <v>0.65756140239821437</v>
      </c>
      <c r="AA72" s="5" t="str">
        <f>IF(COUNTIF(L$2:L72,L72)=1,SUMIF(L:L,L72,I:I)/SUMIF(L:L,L72,X:X),"")</f>
        <v/>
      </c>
      <c r="AB72" s="5" t="str">
        <f>IF(COUNTIF($N$2:N72,N72)=1, SUMIF(N:N,N72,Y:Y), "")</f>
        <v/>
      </c>
      <c r="AC72" s="5" t="str">
        <f>IF(COUNTIF($N$2:N72,N72)=1, SUMIF(N:N,N72,Z:Z), "")</f>
        <v/>
      </c>
    </row>
    <row r="73" spans="1:29" x14ac:dyDescent="0.35">
      <c r="A73" s="1">
        <f ca="1">IF(B73="","",COUNTA($B$2:B73))</f>
        <v>72</v>
      </c>
      <c r="B73" s="2">
        <f t="shared" ca="1" si="10"/>
        <v>46193</v>
      </c>
      <c r="C73" s="1" t="s">
        <v>255</v>
      </c>
      <c r="D73" s="1" t="s">
        <v>256</v>
      </c>
      <c r="E73" s="1" t="s">
        <v>253</v>
      </c>
      <c r="F73" s="1" t="s">
        <v>254</v>
      </c>
      <c r="G73" s="1">
        <v>330</v>
      </c>
      <c r="H73" s="9">
        <v>13</v>
      </c>
      <c r="I73" s="3" t="str">
        <f>IF(COUNTIF($N$2:N73,N73)=1,
SUMIFS($G:$G,$N:$N,N73),
"")</f>
        <v/>
      </c>
      <c r="J73" s="3" t="str">
        <f t="shared" si="8"/>
        <v xml:space="preserve"> </v>
      </c>
      <c r="K73" s="4" t="str">
        <f t="shared" si="9"/>
        <v xml:space="preserve"> </v>
      </c>
      <c r="L73" s="1" t="s">
        <v>35</v>
      </c>
      <c r="M73" s="1" t="s">
        <v>202</v>
      </c>
      <c r="N73" s="9">
        <v>19061919</v>
      </c>
      <c r="O73" s="12">
        <v>0.33333333333333331</v>
      </c>
      <c r="P73" s="5" t="str">
        <f t="shared" si="11"/>
        <v/>
      </c>
      <c r="Q73" s="5" t="s">
        <v>28</v>
      </c>
      <c r="S73" s="1" t="s">
        <v>29</v>
      </c>
      <c r="U73" s="5" t="str">
        <f t="shared" si="7"/>
        <v/>
      </c>
      <c r="W73" s="1" t="str">
        <f>VLOOKUP(E73,'[1]CH DCPT CẤP HÀNG'!$B:$I,8,0)</f>
        <v>GHN</v>
      </c>
      <c r="X73" s="5">
        <f>IF(COUNTIFS($N$2:$N73,N73,$E$2:$E73,E73)=1,1,0)</f>
        <v>0</v>
      </c>
      <c r="Y73" s="5">
        <v>90.615000000000009</v>
      </c>
      <c r="Z73" s="5">
        <v>0.22395132923076921</v>
      </c>
      <c r="AA73" s="5" t="str">
        <f>IF(COUNTIF(L$2:L73,L73)=1,SUMIF(L:L,L73,I:I)/SUMIF(L:L,L73,X:X),"")</f>
        <v/>
      </c>
      <c r="AB73" s="5" t="str">
        <f>IF(COUNTIF($N$2:N73,N73)=1, SUMIF(N:N,N73,Y:Y), "")</f>
        <v/>
      </c>
      <c r="AC73" s="5" t="str">
        <f>IF(COUNTIF($N$2:N73,N73)=1, SUMIF(N:N,N73,Z:Z), "")</f>
        <v/>
      </c>
    </row>
    <row r="74" spans="1:29" x14ac:dyDescent="0.35">
      <c r="A74" s="1">
        <f ca="1">IF(B74="","",COUNTA($B$2:B74))</f>
        <v>73</v>
      </c>
      <c r="B74" s="2">
        <f t="shared" ca="1" si="10"/>
        <v>46193</v>
      </c>
      <c r="C74" s="1" t="s">
        <v>257</v>
      </c>
      <c r="D74" s="1" t="s">
        <v>258</v>
      </c>
      <c r="E74" s="1" t="s">
        <v>259</v>
      </c>
      <c r="F74" s="1" t="s">
        <v>260</v>
      </c>
      <c r="G74" s="1">
        <v>3344</v>
      </c>
      <c r="H74" s="9">
        <v>136</v>
      </c>
      <c r="I74" s="3" t="str">
        <f>IF(COUNTIF($N$2:N74,N74)=1,
SUMIFS($G:$G,$N:$N,N74),
"")</f>
        <v/>
      </c>
      <c r="J74" s="3">
        <f t="shared" si="8"/>
        <v>835.12589230769299</v>
      </c>
      <c r="K74" s="4">
        <f t="shared" si="9"/>
        <v>6.7755589480900102</v>
      </c>
      <c r="L74" s="1" t="s">
        <v>35</v>
      </c>
      <c r="M74" s="1" t="s">
        <v>202</v>
      </c>
      <c r="N74" s="9">
        <v>19061919</v>
      </c>
      <c r="O74" s="12">
        <v>0.33333333333333331</v>
      </c>
      <c r="P74" s="5" t="str">
        <f t="shared" si="11"/>
        <v/>
      </c>
      <c r="Q74" s="5" t="s">
        <v>28</v>
      </c>
      <c r="S74" s="1" t="s">
        <v>30</v>
      </c>
      <c r="U74" s="5" t="str">
        <f t="shared" si="7"/>
        <v/>
      </c>
      <c r="W74" s="1" t="str">
        <f>VLOOKUP(E74,'[1]CH DCPT CẤP HÀNG'!$B:$I,8,0)</f>
        <v>GHN</v>
      </c>
      <c r="X74" s="5">
        <f>IF(COUNTIFS($N$2:$N74,N74,$E$2:$E74,E74)=1,1,0)</f>
        <v>1</v>
      </c>
      <c r="Y74" s="5">
        <v>835.12589230769299</v>
      </c>
      <c r="Z74" s="5">
        <v>6.7755589480900102</v>
      </c>
      <c r="AA74" s="5" t="str">
        <f>IF(COUNTIF(L$2:L74,L74)=1,SUMIF(L:L,L74,I:I)/SUMIF(L:L,L74,X:X),"")</f>
        <v/>
      </c>
      <c r="AB74" s="5" t="str">
        <f>IF(COUNTIF($N$2:N74,N74)=1, SUMIF(N:N,N74,Y:Y), "")</f>
        <v/>
      </c>
      <c r="AC74" s="5" t="str">
        <f>IF(COUNTIF($N$2:N74,N74)=1, SUMIF(N:N,N74,Z:Z), "")</f>
        <v/>
      </c>
    </row>
    <row r="75" spans="1:29" x14ac:dyDescent="0.35">
      <c r="A75" s="1">
        <f ca="1">IF(B75="","",COUNTA($B$2:B75))</f>
        <v>74</v>
      </c>
      <c r="B75" s="2">
        <f t="shared" ca="1" si="10"/>
        <v>46193</v>
      </c>
      <c r="C75" s="1" t="s">
        <v>261</v>
      </c>
      <c r="D75" s="1" t="s">
        <v>262</v>
      </c>
      <c r="E75" s="1" t="s">
        <v>263</v>
      </c>
      <c r="F75" s="1" t="s">
        <v>264</v>
      </c>
      <c r="G75" s="1">
        <v>153</v>
      </c>
      <c r="H75" s="9">
        <v>11</v>
      </c>
      <c r="I75" s="3" t="str">
        <f>IF(COUNTIF($N$2:N75,N75)=1,
SUMIFS($G:$G,$N:$N,N75),
"")</f>
        <v/>
      </c>
      <c r="J75" s="3">
        <f t="shared" si="8"/>
        <v>135.54380000000003</v>
      </c>
      <c r="K75" s="4">
        <f t="shared" si="9"/>
        <v>0.44043676385417652</v>
      </c>
      <c r="L75" s="1" t="s">
        <v>35</v>
      </c>
      <c r="M75" s="1" t="s">
        <v>202</v>
      </c>
      <c r="N75" s="9">
        <v>19061919</v>
      </c>
      <c r="O75" s="12">
        <v>0.33333333333333331</v>
      </c>
      <c r="P75" s="5" t="str">
        <f t="shared" si="11"/>
        <v/>
      </c>
      <c r="Q75" s="5" t="s">
        <v>28</v>
      </c>
      <c r="S75" s="1" t="s">
        <v>29</v>
      </c>
      <c r="U75" s="5" t="str">
        <f t="shared" si="7"/>
        <v/>
      </c>
      <c r="W75" s="1" t="str">
        <f>VLOOKUP(E75,'[1]CH DCPT CẤP HÀNG'!$B:$I,8,0)</f>
        <v>GHN</v>
      </c>
      <c r="X75" s="5">
        <f>IF(COUNTIFS($N$2:$N75,N75,$E$2:$E75,E75)=1,1,0)</f>
        <v>1</v>
      </c>
      <c r="Y75" s="5">
        <v>88.353800000000035</v>
      </c>
      <c r="Z75" s="5">
        <v>0.34588074231571497</v>
      </c>
      <c r="AA75" s="5" t="str">
        <f>IF(COUNTIF(L$2:L75,L75)=1,SUMIF(L:L,L75,I:I)/SUMIF(L:L,L75,X:X),"")</f>
        <v/>
      </c>
      <c r="AB75" s="5" t="str">
        <f>IF(COUNTIF($N$2:N75,N75)=1, SUMIF(N:N,N75,Y:Y), "")</f>
        <v/>
      </c>
      <c r="AC75" s="5" t="str">
        <f>IF(COUNTIF($N$2:N75,N75)=1, SUMIF(N:N,N75,Z:Z), "")</f>
        <v/>
      </c>
    </row>
    <row r="76" spans="1:29" x14ac:dyDescent="0.35">
      <c r="A76" s="1">
        <f ca="1">IF(B76="","",COUNTA($B$2:B76))</f>
        <v>75</v>
      </c>
      <c r="B76" s="2">
        <f t="shared" ca="1" si="10"/>
        <v>46193</v>
      </c>
      <c r="C76" s="1" t="s">
        <v>265</v>
      </c>
      <c r="D76" s="1" t="s">
        <v>266</v>
      </c>
      <c r="E76" s="1" t="s">
        <v>263</v>
      </c>
      <c r="F76" s="1" t="s">
        <v>264</v>
      </c>
      <c r="G76" s="1">
        <v>150</v>
      </c>
      <c r="H76" s="9">
        <v>6</v>
      </c>
      <c r="I76" s="3" t="str">
        <f>IF(COUNTIF($N$2:N76,N76)=1,
SUMIFS($G:$G,$N:$N,N76),
"")</f>
        <v/>
      </c>
      <c r="J76" s="3" t="str">
        <f t="shared" si="8"/>
        <v xml:space="preserve"> </v>
      </c>
      <c r="K76" s="4" t="str">
        <f t="shared" si="9"/>
        <v xml:space="preserve"> </v>
      </c>
      <c r="L76" s="1" t="s">
        <v>35</v>
      </c>
      <c r="M76" s="1" t="s">
        <v>202</v>
      </c>
      <c r="N76" s="9">
        <v>19061919</v>
      </c>
      <c r="O76" s="12">
        <v>0.33333333333333331</v>
      </c>
      <c r="P76" s="5" t="str">
        <f t="shared" si="11"/>
        <v/>
      </c>
      <c r="Q76" s="5" t="s">
        <v>28</v>
      </c>
      <c r="S76" s="1" t="s">
        <v>29</v>
      </c>
      <c r="U76" s="5" t="str">
        <f t="shared" si="7"/>
        <v/>
      </c>
      <c r="W76" s="1" t="str">
        <f>VLOOKUP(E76,'[1]CH DCPT CẤP HÀNG'!$B:$I,8,0)</f>
        <v>GHN</v>
      </c>
      <c r="X76" s="5">
        <f>IF(COUNTIFS($N$2:$N76,N76,$E$2:$E76,E76)=1,1,0)</f>
        <v>0</v>
      </c>
      <c r="Y76" s="5">
        <v>47.190000000000005</v>
      </c>
      <c r="Z76" s="5">
        <v>9.4556021538461529E-2</v>
      </c>
      <c r="AA76" s="5" t="str">
        <f>IF(COUNTIF(L$2:L76,L76)=1,SUMIF(L:L,L76,I:I)/SUMIF(L:L,L76,X:X),"")</f>
        <v/>
      </c>
      <c r="AB76" s="5" t="str">
        <f>IF(COUNTIF($N$2:N76,N76)=1, SUMIF(N:N,N76,Y:Y), "")</f>
        <v/>
      </c>
      <c r="AC76" s="5" t="str">
        <f>IF(COUNTIF($N$2:N76,N76)=1, SUMIF(N:N,N76,Z:Z), "")</f>
        <v/>
      </c>
    </row>
    <row r="77" spans="1:29" x14ac:dyDescent="0.35">
      <c r="A77" s="1">
        <f ca="1">IF(B77="","",COUNTA($B$2:B77))</f>
        <v>76</v>
      </c>
      <c r="B77" s="2">
        <f t="shared" ca="1" si="10"/>
        <v>46193</v>
      </c>
      <c r="C77" s="1" t="s">
        <v>267</v>
      </c>
      <c r="D77" s="1" t="s">
        <v>268</v>
      </c>
      <c r="E77" s="1" t="s">
        <v>269</v>
      </c>
      <c r="F77" s="1" t="s">
        <v>270</v>
      </c>
      <c r="G77" s="1">
        <v>217</v>
      </c>
      <c r="H77" s="9">
        <v>18</v>
      </c>
      <c r="I77" s="3" t="str">
        <f>IF(COUNTIF($N$2:N77,N77)=1,
SUMIFS($G:$G,$N:$N,N77),
"")</f>
        <v/>
      </c>
      <c r="J77" s="3">
        <f t="shared" si="8"/>
        <v>206.69755555555557</v>
      </c>
      <c r="K77" s="4">
        <f t="shared" si="9"/>
        <v>0.70479812688486843</v>
      </c>
      <c r="L77" s="1" t="s">
        <v>35</v>
      </c>
      <c r="M77" s="1" t="s">
        <v>202</v>
      </c>
      <c r="N77" s="9">
        <v>19061919</v>
      </c>
      <c r="O77" s="12">
        <v>0.33333333333333331</v>
      </c>
      <c r="P77" s="5" t="str">
        <f t="shared" si="11"/>
        <v/>
      </c>
      <c r="Q77" s="5" t="s">
        <v>28</v>
      </c>
      <c r="S77" s="1" t="s">
        <v>29</v>
      </c>
      <c r="U77" s="5" t="str">
        <f t="shared" si="7"/>
        <v/>
      </c>
      <c r="W77" s="1" t="str">
        <f>VLOOKUP(E77,'[1]CH DCPT CẤP HÀNG'!$B:$I,8,0)</f>
        <v>GHN</v>
      </c>
      <c r="X77" s="5">
        <f>IF(COUNTIFS($N$2:$N77,N77,$E$2:$E77,E77)=1,1,0)</f>
        <v>1</v>
      </c>
      <c r="Y77" s="5">
        <v>162.48355555555557</v>
      </c>
      <c r="Z77" s="5">
        <v>0.60241106688486845</v>
      </c>
      <c r="AA77" s="5" t="str">
        <f>IF(COUNTIF(L$2:L77,L77)=1,SUMIF(L:L,L77,I:I)/SUMIF(L:L,L77,X:X),"")</f>
        <v/>
      </c>
      <c r="AB77" s="5" t="str">
        <f>IF(COUNTIF($N$2:N77,N77)=1, SUMIF(N:N,N77,Y:Y), "")</f>
        <v/>
      </c>
      <c r="AC77" s="5" t="str">
        <f>IF(COUNTIF($N$2:N77,N77)=1, SUMIF(N:N,N77,Z:Z), "")</f>
        <v/>
      </c>
    </row>
    <row r="78" spans="1:29" x14ac:dyDescent="0.35">
      <c r="A78" s="1">
        <f ca="1">IF(B78="","",COUNTA($B$2:B78))</f>
        <v>77</v>
      </c>
      <c r="B78" s="2">
        <f t="shared" ca="1" si="10"/>
        <v>46193</v>
      </c>
      <c r="C78" s="1" t="s">
        <v>271</v>
      </c>
      <c r="D78" s="1" t="s">
        <v>272</v>
      </c>
      <c r="E78" s="1" t="s">
        <v>269</v>
      </c>
      <c r="F78" s="1" t="s">
        <v>270</v>
      </c>
      <c r="G78" s="1">
        <v>180</v>
      </c>
      <c r="H78" s="9">
        <v>7</v>
      </c>
      <c r="I78" s="3" t="str">
        <f>IF(COUNTIF($N$2:N78,N78)=1,
SUMIFS($G:$G,$N:$N,N78),
"")</f>
        <v/>
      </c>
      <c r="J78" s="3" t="str">
        <f t="shared" si="8"/>
        <v xml:space="preserve"> </v>
      </c>
      <c r="K78" s="4" t="str">
        <f t="shared" si="9"/>
        <v xml:space="preserve"> </v>
      </c>
      <c r="L78" s="1" t="s">
        <v>35</v>
      </c>
      <c r="M78" s="1" t="s">
        <v>202</v>
      </c>
      <c r="N78" s="9">
        <v>19061919</v>
      </c>
      <c r="O78" s="12">
        <v>0.33333333333333331</v>
      </c>
      <c r="P78" s="5" t="str">
        <f t="shared" si="11"/>
        <v/>
      </c>
      <c r="Q78" s="5" t="s">
        <v>28</v>
      </c>
      <c r="S78" s="1" t="s">
        <v>29</v>
      </c>
      <c r="U78" s="5" t="str">
        <f t="shared" si="7"/>
        <v/>
      </c>
      <c r="W78" s="1" t="str">
        <f>VLOOKUP(E78,'[1]CH DCPT CẤP HÀNG'!$B:$I,8,0)</f>
        <v>GHN</v>
      </c>
      <c r="X78" s="5">
        <f>IF(COUNTIFS($N$2:$N78,N78,$E$2:$E78,E78)=1,1,0)</f>
        <v>0</v>
      </c>
      <c r="Y78" s="5">
        <v>44.214000000000006</v>
      </c>
      <c r="Z78" s="5">
        <v>0.10238706</v>
      </c>
      <c r="AA78" s="5" t="str">
        <f>IF(COUNTIF(L$2:L78,L78)=1,SUMIF(L:L,L78,I:I)/SUMIF(L:L,L78,X:X),"")</f>
        <v/>
      </c>
      <c r="AB78" s="5" t="str">
        <f>IF(COUNTIF($N$2:N78,N78)=1, SUMIF(N:N,N78,Y:Y), "")</f>
        <v/>
      </c>
      <c r="AC78" s="5" t="str">
        <f>IF(COUNTIF($N$2:N78,N78)=1, SUMIF(N:N,N78,Z:Z), "")</f>
        <v/>
      </c>
    </row>
    <row r="79" spans="1:29" x14ac:dyDescent="0.35">
      <c r="A79" s="1">
        <f ca="1">IF(B79="","",COUNTA($B$2:B79))</f>
        <v>78</v>
      </c>
      <c r="B79" s="2">
        <f t="shared" ca="1" si="10"/>
        <v>46193</v>
      </c>
      <c r="C79" s="1" t="s">
        <v>273</v>
      </c>
      <c r="D79" s="1" t="s">
        <v>274</v>
      </c>
      <c r="E79" s="1" t="s">
        <v>275</v>
      </c>
      <c r="F79" s="1" t="s">
        <v>276</v>
      </c>
      <c r="G79" s="1">
        <v>220</v>
      </c>
      <c r="H79" s="9">
        <v>18</v>
      </c>
      <c r="I79" s="3" t="str">
        <f>IF(COUNTIF($N$2:N79,N79)=1,
SUMIFS($G:$G,$N:$N,N79),
"")</f>
        <v/>
      </c>
      <c r="J79" s="3">
        <f t="shared" si="8"/>
        <v>167.15971111111116</v>
      </c>
      <c r="K79" s="4">
        <f t="shared" si="9"/>
        <v>0.61617511680288772</v>
      </c>
      <c r="L79" s="1" t="s">
        <v>35</v>
      </c>
      <c r="M79" s="1" t="s">
        <v>202</v>
      </c>
      <c r="N79" s="9">
        <v>19061919</v>
      </c>
      <c r="O79" s="12">
        <v>0.33333333333333331</v>
      </c>
      <c r="P79" s="5" t="str">
        <f t="shared" si="11"/>
        <v/>
      </c>
      <c r="Q79" s="5" t="s">
        <v>28</v>
      </c>
      <c r="S79" s="1" t="s">
        <v>29</v>
      </c>
      <c r="U79" s="5" t="str">
        <f t="shared" si="7"/>
        <v/>
      </c>
      <c r="W79" s="1" t="str">
        <f>VLOOKUP(E79,'[1]CH DCPT CẤP HÀNG'!$B:$I,8,0)</f>
        <v>GHN</v>
      </c>
      <c r="X79" s="5">
        <f>IF(COUNTIFS($N$2:$N79,N79,$E$2:$E79,E79)=1,1,0)</f>
        <v>1</v>
      </c>
      <c r="Y79" s="5">
        <v>153.95971111111118</v>
      </c>
      <c r="Z79" s="5">
        <v>0.58626742449519542</v>
      </c>
      <c r="AA79" s="5" t="str">
        <f>IF(COUNTIF(L$2:L79,L79)=1,SUMIF(L:L,L79,I:I)/SUMIF(L:L,L79,X:X),"")</f>
        <v/>
      </c>
      <c r="AB79" s="5" t="str">
        <f>IF(COUNTIF($N$2:N79,N79)=1, SUMIF(N:N,N79,Y:Y), "")</f>
        <v/>
      </c>
      <c r="AC79" s="5" t="str">
        <f>IF(COUNTIF($N$2:N79,N79)=1, SUMIF(N:N,N79,Z:Z), "")</f>
        <v/>
      </c>
    </row>
    <row r="80" spans="1:29" x14ac:dyDescent="0.35">
      <c r="A80" s="1">
        <f ca="1">IF(B80="","",COUNTA($B$2:B80))</f>
        <v>79</v>
      </c>
      <c r="B80" s="2">
        <f t="shared" ca="1" si="10"/>
        <v>46193</v>
      </c>
      <c r="C80" s="1" t="s">
        <v>277</v>
      </c>
      <c r="D80" s="1" t="s">
        <v>278</v>
      </c>
      <c r="E80" s="1" t="s">
        <v>275</v>
      </c>
      <c r="F80" s="1" t="s">
        <v>276</v>
      </c>
      <c r="G80" s="1">
        <v>48</v>
      </c>
      <c r="H80" s="9">
        <v>2</v>
      </c>
      <c r="I80" s="3" t="str">
        <f>IF(COUNTIF($N$2:N80,N80)=1,
SUMIFS($G:$G,$N:$N,N80),
"")</f>
        <v/>
      </c>
      <c r="J80" s="3" t="str">
        <f t="shared" si="8"/>
        <v xml:space="preserve"> </v>
      </c>
      <c r="K80" s="4" t="str">
        <f t="shared" si="9"/>
        <v xml:space="preserve"> </v>
      </c>
      <c r="L80" s="1" t="s">
        <v>35</v>
      </c>
      <c r="M80" s="1" t="s">
        <v>202</v>
      </c>
      <c r="N80" s="9">
        <v>19061919</v>
      </c>
      <c r="O80" s="12">
        <v>0.33333333333333331</v>
      </c>
      <c r="P80" s="5" t="str">
        <f t="shared" si="11"/>
        <v/>
      </c>
      <c r="Q80" s="5" t="s">
        <v>28</v>
      </c>
      <c r="S80" s="1" t="s">
        <v>29</v>
      </c>
      <c r="U80" s="5" t="str">
        <f t="shared" si="7"/>
        <v/>
      </c>
      <c r="W80" s="1" t="str">
        <f>VLOOKUP(E80,'[1]CH DCPT CẤP HÀNG'!$B:$I,8,0)</f>
        <v>GHN</v>
      </c>
      <c r="X80" s="5">
        <f>IF(COUNTIFS($N$2:$N80,N80,$E$2:$E80,E80)=1,1,0)</f>
        <v>0</v>
      </c>
      <c r="Y80" s="5">
        <v>13.200000000000001</v>
      </c>
      <c r="Z80" s="5">
        <v>2.9907692307692305E-2</v>
      </c>
      <c r="AA80" s="5" t="str">
        <f>IF(COUNTIF(L$2:L80,L80)=1,SUMIF(L:L,L80,I:I)/SUMIF(L:L,L80,X:X),"")</f>
        <v/>
      </c>
      <c r="AB80" s="5" t="str">
        <f>IF(COUNTIF($N$2:N80,N80)=1, SUMIF(N:N,N80,Y:Y), "")</f>
        <v/>
      </c>
      <c r="AC80" s="5" t="str">
        <f>IF(COUNTIF($N$2:N80,N80)=1, SUMIF(N:N,N80,Z:Z), "")</f>
        <v/>
      </c>
    </row>
    <row r="81" spans="1:29" x14ac:dyDescent="0.35">
      <c r="A81" s="1">
        <f ca="1">IF(B81="","",COUNTA($B$2:B81))</f>
        <v>80</v>
      </c>
      <c r="B81" s="2">
        <f t="shared" ca="1" si="10"/>
        <v>46193</v>
      </c>
      <c r="C81" s="1" t="s">
        <v>279</v>
      </c>
      <c r="D81" s="1" t="s">
        <v>280</v>
      </c>
      <c r="E81" s="1" t="s">
        <v>281</v>
      </c>
      <c r="F81" s="1" t="s">
        <v>282</v>
      </c>
      <c r="G81" s="1">
        <v>169</v>
      </c>
      <c r="H81" s="9">
        <v>10</v>
      </c>
      <c r="I81" s="3" t="str">
        <f>IF(COUNTIF($N$2:N81,N81)=1,
SUMIFS($G:$G,$N:$N,N81),
"")</f>
        <v/>
      </c>
      <c r="J81" s="3">
        <f t="shared" si="8"/>
        <v>74.075600000000037</v>
      </c>
      <c r="K81" s="4">
        <f t="shared" si="9"/>
        <v>0.32345716679487185</v>
      </c>
      <c r="L81" s="1" t="s">
        <v>35</v>
      </c>
      <c r="M81" s="1" t="s">
        <v>202</v>
      </c>
      <c r="N81" s="9">
        <v>19061919</v>
      </c>
      <c r="O81" s="12">
        <v>0.33333333333333331</v>
      </c>
      <c r="P81" s="5" t="str">
        <f t="shared" si="11"/>
        <v/>
      </c>
      <c r="Q81" s="5" t="s">
        <v>28</v>
      </c>
      <c r="S81" s="1" t="s">
        <v>29</v>
      </c>
      <c r="U81" s="5" t="str">
        <f t="shared" si="7"/>
        <v/>
      </c>
      <c r="W81" s="1" t="str">
        <f>VLOOKUP(E81,'[1]CH DCPT CẤP HÀNG'!$B:$I,8,0)</f>
        <v>GHN</v>
      </c>
      <c r="X81" s="5">
        <f>IF(COUNTIFS($N$2:$N81,N81,$E$2:$E81,E81)=1,1,0)</f>
        <v>1</v>
      </c>
      <c r="Y81" s="5">
        <v>70.929200000000037</v>
      </c>
      <c r="Z81" s="5">
        <v>0.27101716679487187</v>
      </c>
      <c r="AA81" s="5" t="str">
        <f>IF(COUNTIF(L$2:L81,L81)=1,SUMIF(L:L,L81,I:I)/SUMIF(L:L,L81,X:X),"")</f>
        <v/>
      </c>
      <c r="AB81" s="5" t="str">
        <f>IF(COUNTIF($N$2:N81,N81)=1, SUMIF(N:N,N81,Y:Y), "")</f>
        <v/>
      </c>
      <c r="AC81" s="5" t="str">
        <f>IF(COUNTIF($N$2:N81,N81)=1, SUMIF(N:N,N81,Z:Z), "")</f>
        <v/>
      </c>
    </row>
    <row r="82" spans="1:29" x14ac:dyDescent="0.35">
      <c r="A82" s="1">
        <f ca="1">IF(B82="","",COUNTA($B$2:B82))</f>
        <v>81</v>
      </c>
      <c r="B82" s="2">
        <f t="shared" ca="1" si="10"/>
        <v>46193</v>
      </c>
      <c r="C82" s="1" t="s">
        <v>283</v>
      </c>
      <c r="D82" s="1" t="s">
        <v>284</v>
      </c>
      <c r="E82" s="1" t="s">
        <v>281</v>
      </c>
      <c r="F82" s="1" t="s">
        <v>282</v>
      </c>
      <c r="G82" s="1">
        <v>24</v>
      </c>
      <c r="H82" s="9">
        <v>1</v>
      </c>
      <c r="I82" s="3" t="str">
        <f>IF(COUNTIF($N$2:N82,N82)=1,
SUMIFS($G:$G,$N:$N,N82),
"")</f>
        <v/>
      </c>
      <c r="J82" s="3" t="str">
        <f t="shared" si="8"/>
        <v xml:space="preserve"> </v>
      </c>
      <c r="K82" s="4" t="str">
        <f t="shared" si="9"/>
        <v xml:space="preserve"> </v>
      </c>
      <c r="L82" s="1" t="s">
        <v>35</v>
      </c>
      <c r="M82" s="1" t="s">
        <v>202</v>
      </c>
      <c r="N82" s="9">
        <v>19061919</v>
      </c>
      <c r="O82" s="12">
        <v>0.33333333333333331</v>
      </c>
      <c r="P82" s="5" t="str">
        <f t="shared" si="11"/>
        <v/>
      </c>
      <c r="Q82" s="5" t="s">
        <v>28</v>
      </c>
      <c r="S82" s="1" t="s">
        <v>29</v>
      </c>
      <c r="U82" s="5" t="str">
        <f t="shared" si="7"/>
        <v/>
      </c>
      <c r="W82" s="1" t="str">
        <f>VLOOKUP(E82,'[1]CH DCPT CẤP HÀNG'!$B:$I,8,0)</f>
        <v>GHN</v>
      </c>
      <c r="X82" s="5">
        <f>IF(COUNTIFS($N$2:$N82,N82,$E$2:$E82,E82)=1,1,0)</f>
        <v>0</v>
      </c>
      <c r="Y82" s="5">
        <v>3.1463999999999999</v>
      </c>
      <c r="Z82" s="5">
        <v>5.2440000000000001E-2</v>
      </c>
      <c r="AA82" s="5" t="str">
        <f>IF(COUNTIF(L$2:L82,L82)=1,SUMIF(L:L,L82,I:I)/SUMIF(L:L,L82,X:X),"")</f>
        <v/>
      </c>
      <c r="AB82" s="5" t="str">
        <f>IF(COUNTIF($N$2:N82,N82)=1, SUMIF(N:N,N82,Y:Y), "")</f>
        <v/>
      </c>
      <c r="AC82" s="5" t="str">
        <f>IF(COUNTIF($N$2:N82,N82)=1, SUMIF(N:N,N82,Z:Z), "")</f>
        <v/>
      </c>
    </row>
    <row r="83" spans="1:29" x14ac:dyDescent="0.35">
      <c r="A83" s="1">
        <f ca="1">IF(B83="","",COUNTA($B$2:B83))</f>
        <v>82</v>
      </c>
      <c r="B83" s="2">
        <f t="shared" ca="1" si="10"/>
        <v>46193</v>
      </c>
      <c r="C83" s="1" t="s">
        <v>285</v>
      </c>
      <c r="D83" s="1" t="s">
        <v>286</v>
      </c>
      <c r="E83" s="1" t="s">
        <v>287</v>
      </c>
      <c r="F83" s="1" t="s">
        <v>288</v>
      </c>
      <c r="G83" s="1">
        <v>204</v>
      </c>
      <c r="H83" s="9">
        <v>16</v>
      </c>
      <c r="I83" s="3" t="str">
        <f>IF(COUNTIF($N$2:N83,N83)=1,
SUMIFS($G:$G,$N:$N,N83),
"")</f>
        <v/>
      </c>
      <c r="J83" s="3">
        <f t="shared" si="8"/>
        <v>179.76054285714287</v>
      </c>
      <c r="K83" s="4">
        <f t="shared" si="9"/>
        <v>0.7313920360489482</v>
      </c>
      <c r="L83" s="1" t="s">
        <v>35</v>
      </c>
      <c r="M83" s="1" t="s">
        <v>202</v>
      </c>
      <c r="N83" s="9">
        <v>19061919</v>
      </c>
      <c r="O83" s="12">
        <v>0.33333333333333331</v>
      </c>
      <c r="P83" s="5" t="str">
        <f t="shared" si="11"/>
        <v/>
      </c>
      <c r="Q83" s="5" t="s">
        <v>28</v>
      </c>
      <c r="S83" s="1" t="s">
        <v>29</v>
      </c>
      <c r="U83" s="5" t="str">
        <f t="shared" si="7"/>
        <v/>
      </c>
      <c r="W83" s="1" t="str">
        <f>VLOOKUP(E83,'[1]CH DCPT CẤP HÀNG'!$B:$I,8,0)</f>
        <v>GHN</v>
      </c>
      <c r="X83" s="5">
        <f>IF(COUNTIFS($N$2:$N83,N83,$E$2:$E83,E83)=1,1,0)</f>
        <v>1</v>
      </c>
      <c r="Y83" s="5">
        <v>154.84054285714285</v>
      </c>
      <c r="Z83" s="5">
        <v>0.6500761422027943</v>
      </c>
      <c r="AA83" s="5" t="str">
        <f>IF(COUNTIF(L$2:L83,L83)=1,SUMIF(L:L,L83,I:I)/SUMIF(L:L,L83,X:X),"")</f>
        <v/>
      </c>
      <c r="AB83" s="5" t="str">
        <f>IF(COUNTIF($N$2:N83,N83)=1, SUMIF(N:N,N83,Y:Y), "")</f>
        <v/>
      </c>
      <c r="AC83" s="5" t="str">
        <f>IF(COUNTIF($N$2:N83,N83)=1, SUMIF(N:N,N83,Z:Z), "")</f>
        <v/>
      </c>
    </row>
    <row r="84" spans="1:29" x14ac:dyDescent="0.35">
      <c r="A84" s="1">
        <f ca="1">IF(B84="","",COUNTA($B$2:B84))</f>
        <v>83</v>
      </c>
      <c r="B84" s="2">
        <f t="shared" ca="1" si="10"/>
        <v>46193</v>
      </c>
      <c r="C84" s="1" t="s">
        <v>289</v>
      </c>
      <c r="D84" s="1" t="s">
        <v>290</v>
      </c>
      <c r="E84" s="1" t="s">
        <v>287</v>
      </c>
      <c r="F84" s="1" t="s">
        <v>288</v>
      </c>
      <c r="G84" s="1">
        <v>126</v>
      </c>
      <c r="H84" s="9">
        <v>5</v>
      </c>
      <c r="I84" s="3" t="str">
        <f>IF(COUNTIF($N$2:N84,N84)=1,
SUMIFS($G:$G,$N:$N,N84),
"")</f>
        <v/>
      </c>
      <c r="J84" s="3" t="str">
        <f t="shared" si="8"/>
        <v xml:space="preserve"> </v>
      </c>
      <c r="K84" s="4" t="str">
        <f t="shared" si="9"/>
        <v xml:space="preserve"> </v>
      </c>
      <c r="L84" s="1" t="s">
        <v>35</v>
      </c>
      <c r="M84" s="1" t="s">
        <v>202</v>
      </c>
      <c r="N84" s="9">
        <v>19061919</v>
      </c>
      <c r="O84" s="12">
        <v>0.33333333333333331</v>
      </c>
      <c r="P84" s="5" t="str">
        <f t="shared" si="11"/>
        <v/>
      </c>
      <c r="Q84" s="5" t="s">
        <v>28</v>
      </c>
      <c r="S84" s="1" t="s">
        <v>29</v>
      </c>
      <c r="U84" s="5" t="str">
        <f t="shared" si="7"/>
        <v/>
      </c>
      <c r="W84" s="1" t="str">
        <f>VLOOKUP(E84,'[1]CH DCPT CẤP HÀNG'!$B:$I,8,0)</f>
        <v>GHN</v>
      </c>
      <c r="X84" s="5">
        <f>IF(COUNTIFS($N$2:$N84,N84,$E$2:$E84,E84)=1,1,0)</f>
        <v>0</v>
      </c>
      <c r="Y84" s="5">
        <v>24.92</v>
      </c>
      <c r="Z84" s="5">
        <v>8.1315893846153856E-2</v>
      </c>
      <c r="AA84" s="5" t="str">
        <f>IF(COUNTIF(L$2:L84,L84)=1,SUMIF(L:L,L84,I:I)/SUMIF(L:L,L84,X:X),"")</f>
        <v/>
      </c>
      <c r="AB84" s="5" t="str">
        <f>IF(COUNTIF($N$2:N84,N84)=1, SUMIF(N:N,N84,Y:Y), "")</f>
        <v/>
      </c>
      <c r="AC84" s="5" t="str">
        <f>IF(COUNTIF($N$2:N84,N84)=1, SUMIF(N:N,N84,Z:Z), "")</f>
        <v/>
      </c>
    </row>
    <row r="85" spans="1:29" x14ac:dyDescent="0.35">
      <c r="A85" s="1">
        <f ca="1">IF(B85="","",COUNTA($B$2:B85))</f>
        <v>84</v>
      </c>
      <c r="B85" s="2">
        <f t="shared" ca="1" si="10"/>
        <v>46193</v>
      </c>
      <c r="C85" s="1" t="s">
        <v>291</v>
      </c>
      <c r="D85" s="1" t="s">
        <v>292</v>
      </c>
      <c r="E85" s="1" t="s">
        <v>293</v>
      </c>
      <c r="F85" s="1" t="s">
        <v>294</v>
      </c>
      <c r="G85" s="1">
        <v>328</v>
      </c>
      <c r="H85" s="9">
        <v>20</v>
      </c>
      <c r="I85" s="3" t="str">
        <f>IF(COUNTIF($N$2:N85,N85)=1,
SUMIFS($G:$G,$N:$N,N85),
"")</f>
        <v/>
      </c>
      <c r="J85" s="3">
        <f t="shared" si="8"/>
        <v>186.18193968253962</v>
      </c>
      <c r="K85" s="4">
        <f t="shared" si="9"/>
        <v>0.65141010802471533</v>
      </c>
      <c r="L85" s="1" t="s">
        <v>35</v>
      </c>
      <c r="M85" s="1" t="s">
        <v>202</v>
      </c>
      <c r="N85" s="9">
        <v>19061919</v>
      </c>
      <c r="O85" s="12">
        <v>0.33333333333333331</v>
      </c>
      <c r="P85" s="5" t="str">
        <f t="shared" si="11"/>
        <v/>
      </c>
      <c r="Q85" s="5" t="s">
        <v>28</v>
      </c>
      <c r="S85" s="1" t="s">
        <v>29</v>
      </c>
      <c r="U85" s="5" t="str">
        <f t="shared" si="7"/>
        <v/>
      </c>
      <c r="W85" s="1" t="str">
        <f>VLOOKUP(E85,'[1]CH DCPT CẤP HÀNG'!$B:$I,8,0)</f>
        <v>GHN</v>
      </c>
      <c r="X85" s="5">
        <f>IF(COUNTIFS($N$2:$N85,N85,$E$2:$E85,E85)=1,1,0)</f>
        <v>1</v>
      </c>
      <c r="Y85" s="5">
        <v>166.05193968253963</v>
      </c>
      <c r="Z85" s="5">
        <v>0.57948453110163844</v>
      </c>
      <c r="AA85" s="5" t="str">
        <f>IF(COUNTIF(L$2:L85,L85)=1,SUMIF(L:L,L85,I:I)/SUMIF(L:L,L85,X:X),"")</f>
        <v/>
      </c>
      <c r="AB85" s="5" t="str">
        <f>IF(COUNTIF($N$2:N85,N85)=1, SUMIF(N:N,N85,Y:Y), "")</f>
        <v/>
      </c>
      <c r="AC85" s="5" t="str">
        <f>IF(COUNTIF($N$2:N85,N85)=1, SUMIF(N:N,N85,Z:Z), "")</f>
        <v/>
      </c>
    </row>
    <row r="86" spans="1:29" x14ac:dyDescent="0.35">
      <c r="A86" s="1">
        <f ca="1">IF(B86="","",COUNTA($B$2:B86))</f>
        <v>85</v>
      </c>
      <c r="B86" s="2">
        <f t="shared" ca="1" si="10"/>
        <v>46193</v>
      </c>
      <c r="C86" s="1" t="s">
        <v>295</v>
      </c>
      <c r="D86" s="1" t="s">
        <v>296</v>
      </c>
      <c r="E86" s="1" t="s">
        <v>293</v>
      </c>
      <c r="F86" s="1" t="s">
        <v>294</v>
      </c>
      <c r="G86" s="1">
        <v>132</v>
      </c>
      <c r="H86" s="9">
        <v>5</v>
      </c>
      <c r="I86" s="3" t="str">
        <f>IF(COUNTIF($N$2:N86,N86)=1,
SUMIFS($G:$G,$N:$N,N86),
"")</f>
        <v/>
      </c>
      <c r="J86" s="3" t="str">
        <f t="shared" si="8"/>
        <v xml:space="preserve"> </v>
      </c>
      <c r="K86" s="4" t="str">
        <f t="shared" si="9"/>
        <v xml:space="preserve"> </v>
      </c>
      <c r="L86" s="1" t="s">
        <v>35</v>
      </c>
      <c r="M86" s="1" t="s">
        <v>202</v>
      </c>
      <c r="N86" s="9">
        <v>19061919</v>
      </c>
      <c r="O86" s="12">
        <v>0.33333333333333331</v>
      </c>
      <c r="P86" s="5" t="str">
        <f t="shared" si="11"/>
        <v/>
      </c>
      <c r="Q86" s="5" t="s">
        <v>28</v>
      </c>
      <c r="S86" s="1" t="s">
        <v>29</v>
      </c>
      <c r="U86" s="5" t="str">
        <f t="shared" si="7"/>
        <v/>
      </c>
      <c r="W86" s="1" t="str">
        <f>VLOOKUP(E86,'[1]CH DCPT CẤP HÀNG'!$B:$I,8,0)</f>
        <v>GHN</v>
      </c>
      <c r="X86" s="5">
        <f>IF(COUNTIFS($N$2:$N86,N86,$E$2:$E86,E86)=1,1,0)</f>
        <v>0</v>
      </c>
      <c r="Y86" s="5">
        <v>20.130000000000003</v>
      </c>
      <c r="Z86" s="5">
        <v>7.1925576923076925E-2</v>
      </c>
      <c r="AA86" s="5" t="str">
        <f>IF(COUNTIF(L$2:L86,L86)=1,SUMIF(L:L,L86,I:I)/SUMIF(L:L,L86,X:X),"")</f>
        <v/>
      </c>
      <c r="AB86" s="5" t="str">
        <f>IF(COUNTIF($N$2:N86,N86)=1, SUMIF(N:N,N86,Y:Y), "")</f>
        <v/>
      </c>
      <c r="AC86" s="5" t="str">
        <f>IF(COUNTIF($N$2:N86,N86)=1, SUMIF(N:N,N86,Z:Z), "")</f>
        <v/>
      </c>
    </row>
    <row r="87" spans="1:29" x14ac:dyDescent="0.35">
      <c r="A87" s="1">
        <f ca="1">IF(B87="","",COUNTA($B$2:B87))</f>
        <v>86</v>
      </c>
      <c r="B87" s="2">
        <f t="shared" ca="1" si="10"/>
        <v>46193</v>
      </c>
      <c r="C87" s="1" t="s">
        <v>297</v>
      </c>
      <c r="D87" s="1" t="s">
        <v>298</v>
      </c>
      <c r="E87" s="1" t="s">
        <v>299</v>
      </c>
      <c r="F87" s="1" t="s">
        <v>300</v>
      </c>
      <c r="G87" s="1">
        <v>254</v>
      </c>
      <c r="H87" s="9">
        <v>15</v>
      </c>
      <c r="I87" s="3" t="str">
        <f>IF(COUNTIF($N$2:N87,N87)=1,
SUMIFS($G:$G,$N:$N,N87),
"")</f>
        <v/>
      </c>
      <c r="J87" s="3">
        <f t="shared" si="8"/>
        <v>127.47650000000002</v>
      </c>
      <c r="K87" s="4">
        <f t="shared" si="9"/>
        <v>0.56993218121182954</v>
      </c>
      <c r="L87" s="1" t="s">
        <v>35</v>
      </c>
      <c r="M87" s="1" t="s">
        <v>202</v>
      </c>
      <c r="N87" s="9">
        <v>19061919</v>
      </c>
      <c r="O87" s="12">
        <v>0.33333333333333331</v>
      </c>
      <c r="P87" s="5" t="str">
        <f t="shared" si="11"/>
        <v/>
      </c>
      <c r="Q87" s="5" t="s">
        <v>28</v>
      </c>
      <c r="S87" s="1" t="s">
        <v>29</v>
      </c>
      <c r="U87" s="5" t="str">
        <f t="shared" si="7"/>
        <v/>
      </c>
      <c r="W87" s="1" t="str">
        <f>VLOOKUP(E87,'[1]CH DCPT CẤP HÀNG'!$B:$I,8,0)</f>
        <v>GHN</v>
      </c>
      <c r="X87" s="5">
        <f>IF(COUNTIFS($N$2:$N87,N87,$E$2:$E87,E87)=1,1,0)</f>
        <v>1</v>
      </c>
      <c r="Y87" s="5">
        <v>109.98050000000002</v>
      </c>
      <c r="Z87" s="5">
        <v>0.48868352736567572</v>
      </c>
      <c r="AA87" s="5" t="str">
        <f>IF(COUNTIF(L$2:L87,L87)=1,SUMIF(L:L,L87,I:I)/SUMIF(L:L,L87,X:X),"")</f>
        <v/>
      </c>
      <c r="AB87" s="5" t="str">
        <f>IF(COUNTIF($N$2:N87,N87)=1, SUMIF(N:N,N87,Y:Y), "")</f>
        <v/>
      </c>
      <c r="AC87" s="5" t="str">
        <f>IF(COUNTIF($N$2:N87,N87)=1, SUMIF(N:N,N87,Z:Z), "")</f>
        <v/>
      </c>
    </row>
    <row r="88" spans="1:29" x14ac:dyDescent="0.35">
      <c r="A88" s="1">
        <f ca="1">IF(B88="","",COUNTA($B$2:B88))</f>
        <v>87</v>
      </c>
      <c r="B88" s="2">
        <f t="shared" ca="1" si="10"/>
        <v>46193</v>
      </c>
      <c r="C88" s="1" t="s">
        <v>301</v>
      </c>
      <c r="D88" s="1" t="s">
        <v>302</v>
      </c>
      <c r="E88" s="1" t="s">
        <v>299</v>
      </c>
      <c r="F88" s="1" t="s">
        <v>300</v>
      </c>
      <c r="G88" s="1">
        <v>96</v>
      </c>
      <c r="H88" s="9">
        <v>4</v>
      </c>
      <c r="I88" s="3" t="str">
        <f>IF(COUNTIF($N$2:N88,N88)=1,
SUMIFS($G:$G,$N:$N,N88),
"")</f>
        <v/>
      </c>
      <c r="J88" s="3" t="str">
        <f t="shared" si="8"/>
        <v xml:space="preserve"> </v>
      </c>
      <c r="K88" s="4" t="str">
        <f t="shared" si="9"/>
        <v xml:space="preserve"> </v>
      </c>
      <c r="L88" s="1" t="s">
        <v>35</v>
      </c>
      <c r="M88" s="1" t="s">
        <v>202</v>
      </c>
      <c r="N88" s="9">
        <v>19061919</v>
      </c>
      <c r="O88" s="12">
        <v>0.33333333333333331</v>
      </c>
      <c r="P88" s="5" t="str">
        <f t="shared" si="11"/>
        <v/>
      </c>
      <c r="Q88" s="5" t="s">
        <v>28</v>
      </c>
      <c r="S88" s="1" t="s">
        <v>29</v>
      </c>
      <c r="U88" s="5" t="str">
        <f t="shared" si="7"/>
        <v/>
      </c>
      <c r="W88" s="1" t="str">
        <f>VLOOKUP(E88,'[1]CH DCPT CẤP HÀNG'!$B:$I,8,0)</f>
        <v>GHN</v>
      </c>
      <c r="X88" s="5">
        <f>IF(COUNTIFS($N$2:$N88,N88,$E$2:$E88,E88)=1,1,0)</f>
        <v>0</v>
      </c>
      <c r="Y88" s="5">
        <v>17.496000000000002</v>
      </c>
      <c r="Z88" s="5">
        <v>8.1248653846153845E-2</v>
      </c>
      <c r="AA88" s="5" t="str">
        <f>IF(COUNTIF(L$2:L88,L88)=1,SUMIF(L:L,L88,I:I)/SUMIF(L:L,L88,X:X),"")</f>
        <v/>
      </c>
      <c r="AB88" s="5" t="str">
        <f>IF(COUNTIF($N$2:N88,N88)=1, SUMIF(N:N,N88,Y:Y), "")</f>
        <v/>
      </c>
      <c r="AC88" s="5" t="str">
        <f>IF(COUNTIF($N$2:N88,N88)=1, SUMIF(N:N,N88,Z:Z), "")</f>
        <v/>
      </c>
    </row>
    <row r="89" spans="1:29" x14ac:dyDescent="0.35">
      <c r="A89" s="1">
        <f ca="1">IF(B89="","",COUNTA($B$2:B89))</f>
        <v>88</v>
      </c>
      <c r="B89" s="2">
        <f t="shared" ca="1" si="10"/>
        <v>46193</v>
      </c>
      <c r="C89" s="1" t="s">
        <v>303</v>
      </c>
      <c r="D89" s="1" t="s">
        <v>304</v>
      </c>
      <c r="E89" s="1" t="s">
        <v>305</v>
      </c>
      <c r="F89" s="1" t="s">
        <v>306</v>
      </c>
      <c r="G89" s="1">
        <v>196</v>
      </c>
      <c r="H89" s="9">
        <v>17</v>
      </c>
      <c r="I89" s="3" t="str">
        <f>IF(COUNTIF($N$2:N89,N89)=1,
SUMIFS($G:$G,$N:$N,N89),
"")</f>
        <v/>
      </c>
      <c r="J89" s="3">
        <f t="shared" si="8"/>
        <v>213.01346507936509</v>
      </c>
      <c r="K89" s="4">
        <f t="shared" si="9"/>
        <v>0.78740133334157181</v>
      </c>
      <c r="L89" s="1" t="s">
        <v>35</v>
      </c>
      <c r="M89" s="1" t="s">
        <v>202</v>
      </c>
      <c r="N89" s="9">
        <v>19061919</v>
      </c>
      <c r="O89" s="12">
        <v>0.33333333333333331</v>
      </c>
      <c r="P89" s="5" t="str">
        <f t="shared" si="11"/>
        <v/>
      </c>
      <c r="Q89" s="5" t="s">
        <v>28</v>
      </c>
      <c r="S89" s="1" t="s">
        <v>29</v>
      </c>
      <c r="U89" s="5" t="str">
        <f t="shared" si="7"/>
        <v/>
      </c>
      <c r="W89" s="1" t="str">
        <f>VLOOKUP(E89,'[1]CH DCPT CẤP HÀNG'!$B:$I,8,0)</f>
        <v>GHN</v>
      </c>
      <c r="X89" s="5">
        <f>IF(COUNTIFS($N$2:$N89,N89,$E$2:$E89,E89)=1,1,0)</f>
        <v>1</v>
      </c>
      <c r="Y89" s="5">
        <v>174.74346507936508</v>
      </c>
      <c r="Z89" s="5">
        <v>0.64333640103387946</v>
      </c>
      <c r="AA89" s="5" t="str">
        <f>IF(COUNTIF(L$2:L89,L89)=1,SUMIF(L:L,L89,I:I)/SUMIF(L:L,L89,X:X),"")</f>
        <v/>
      </c>
      <c r="AB89" s="5" t="str">
        <f>IF(COUNTIF($N$2:N89,N89)=1, SUMIF(N:N,N89,Y:Y), "")</f>
        <v/>
      </c>
      <c r="AC89" s="5" t="str">
        <f>IF(COUNTIF($N$2:N89,N89)=1, SUMIF(N:N,N89,Z:Z), "")</f>
        <v/>
      </c>
    </row>
    <row r="90" spans="1:29" x14ac:dyDescent="0.35">
      <c r="A90" s="1">
        <f ca="1">IF(B90="","",COUNTA($B$2:B90))</f>
        <v>89</v>
      </c>
      <c r="B90" s="2">
        <f t="shared" ca="1" si="10"/>
        <v>46193</v>
      </c>
      <c r="C90" s="1" t="s">
        <v>307</v>
      </c>
      <c r="D90" s="1" t="s">
        <v>308</v>
      </c>
      <c r="E90" s="1" t="s">
        <v>305</v>
      </c>
      <c r="F90" s="1" t="s">
        <v>306</v>
      </c>
      <c r="G90" s="1">
        <v>186</v>
      </c>
      <c r="H90" s="9">
        <v>8</v>
      </c>
      <c r="I90" s="3" t="str">
        <f>IF(COUNTIF($N$2:N90,N90)=1,
SUMIFS($G:$G,$N:$N,N90),
"")</f>
        <v/>
      </c>
      <c r="J90" s="3" t="str">
        <f t="shared" si="8"/>
        <v xml:space="preserve"> </v>
      </c>
      <c r="K90" s="4" t="str">
        <f t="shared" si="9"/>
        <v xml:space="preserve"> </v>
      </c>
      <c r="L90" s="1" t="s">
        <v>35</v>
      </c>
      <c r="M90" s="1" t="s">
        <v>202</v>
      </c>
      <c r="N90" s="9">
        <v>19061919</v>
      </c>
      <c r="O90" s="12">
        <v>0.33333333333333331</v>
      </c>
      <c r="P90" s="5" t="str">
        <f t="shared" si="11"/>
        <v/>
      </c>
      <c r="Q90" s="5" t="s">
        <v>28</v>
      </c>
      <c r="S90" s="1" t="s">
        <v>29</v>
      </c>
      <c r="U90" s="5" t="str">
        <f t="shared" si="7"/>
        <v/>
      </c>
      <c r="W90" s="1" t="str">
        <f>VLOOKUP(E90,'[1]CH DCPT CẤP HÀNG'!$B:$I,8,0)</f>
        <v>GHN</v>
      </c>
      <c r="X90" s="5">
        <f>IF(COUNTIFS($N$2:$N90,N90,$E$2:$E90,E90)=1,1,0)</f>
        <v>0</v>
      </c>
      <c r="Y90" s="5">
        <v>38.270000000000003</v>
      </c>
      <c r="Z90" s="5">
        <v>0.14406493230769232</v>
      </c>
      <c r="AA90" s="5" t="str">
        <f>IF(COUNTIF(L$2:L90,L90)=1,SUMIF(L:L,L90,I:I)/SUMIF(L:L,L90,X:X),"")</f>
        <v/>
      </c>
      <c r="AB90" s="5" t="str">
        <f>IF(COUNTIF($N$2:N90,N90)=1, SUMIF(N:N,N90,Y:Y), "")</f>
        <v/>
      </c>
      <c r="AC90" s="5" t="str">
        <f>IF(COUNTIF($N$2:N90,N90)=1, SUMIF(N:N,N90,Z:Z), "")</f>
        <v/>
      </c>
    </row>
  </sheetData>
  <dataConsolidate/>
  <conditionalFormatting sqref="D1">
    <cfRule type="duplicateValues" dxfId="0" priority="1"/>
  </conditionalFormatting>
  <dataValidations count="2">
    <dataValidation showInputMessage="1" showErrorMessage="1" sqref="S1 K2:K90" xr:uid="{FA131467-DDE4-414C-971D-57B395CF72AB}"/>
    <dataValidation type="list" allowBlank="1" showInputMessage="1" showErrorMessage="1" sqref="W1" xr:uid="{6D166FE4-351E-41B1-9BB6-CD037B00630C}">
      <formula1>"SGW,LOG"</formula1>
    </dataValidation>
  </dataValidation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Quách Trung Chính (TSC-CCƯ-MB)</dc:creator>
  <cp:lastModifiedBy>Nguyễn Viết Cường (TSC-CCƯ-MB)</cp:lastModifiedBy>
  <dcterms:created xsi:type="dcterms:W3CDTF">2026-06-18T11:33:29Z</dcterms:created>
  <dcterms:modified xsi:type="dcterms:W3CDTF">2026-06-19T02:38:24Z</dcterms:modified>
</cp:coreProperties>
</file>